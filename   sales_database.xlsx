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xr:revisionPtr revIDLastSave="0" documentId="8_{B5B589C7-ED76-4D1F-AF38-ACD552086ED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Sheet1!$A$1:$K$195</definedName>
  </definedNames>
  <calcPr calcId="191028"/>
  <pivotCaches>
    <pivotCache cacheId="460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9" i="1" l="1"/>
  <c r="F198" i="1"/>
  <c r="F197" i="1"/>
  <c r="G195" i="1"/>
  <c r="H195" i="1" s="1"/>
  <c r="G194" i="1"/>
  <c r="H194" i="1" s="1"/>
  <c r="G193" i="1"/>
  <c r="H193" i="1" s="1"/>
  <c r="G192" i="1"/>
  <c r="H192" i="1" s="1"/>
  <c r="G191" i="1"/>
  <c r="H191" i="1" s="1"/>
  <c r="G190" i="1"/>
  <c r="H190" i="1" s="1"/>
  <c r="G189" i="1"/>
  <c r="H189" i="1" s="1"/>
  <c r="G188" i="1"/>
  <c r="H188" i="1" s="1"/>
  <c r="G187" i="1"/>
  <c r="H187" i="1" s="1"/>
  <c r="G186" i="1"/>
  <c r="H186" i="1" s="1"/>
  <c r="G185" i="1"/>
  <c r="H185" i="1" s="1"/>
  <c r="G184" i="1"/>
  <c r="H184" i="1" s="1"/>
  <c r="G183" i="1"/>
  <c r="H183" i="1" s="1"/>
  <c r="G182" i="1"/>
  <c r="H182" i="1" s="1"/>
  <c r="G181" i="1"/>
  <c r="H181" i="1" s="1"/>
  <c r="G180" i="1"/>
  <c r="H180" i="1" s="1"/>
  <c r="G179" i="1"/>
  <c r="H179" i="1" s="1"/>
  <c r="G178" i="1"/>
  <c r="H178" i="1" s="1"/>
  <c r="G177" i="1"/>
  <c r="H177" i="1" s="1"/>
  <c r="G176" i="1"/>
  <c r="H176" i="1" s="1"/>
  <c r="G175" i="1"/>
  <c r="H175" i="1" s="1"/>
  <c r="G174" i="1"/>
  <c r="H174" i="1" s="1"/>
  <c r="G173" i="1"/>
  <c r="H173" i="1" s="1"/>
  <c r="G172" i="1"/>
  <c r="H172" i="1" s="1"/>
  <c r="G171" i="1"/>
  <c r="H171" i="1" s="1"/>
  <c r="G170" i="1"/>
  <c r="H170" i="1" s="1"/>
  <c r="G169" i="1"/>
  <c r="H169" i="1" s="1"/>
  <c r="G168" i="1"/>
  <c r="H168" i="1" s="1"/>
  <c r="G167" i="1"/>
  <c r="H167" i="1" s="1"/>
  <c r="G166" i="1"/>
  <c r="H166" i="1" s="1"/>
  <c r="G165" i="1"/>
  <c r="H165" i="1" s="1"/>
  <c r="G164" i="1"/>
  <c r="H164" i="1" s="1"/>
  <c r="G163" i="1"/>
  <c r="H163" i="1" s="1"/>
  <c r="G162" i="1"/>
  <c r="H162" i="1" s="1"/>
  <c r="G161" i="1"/>
  <c r="H161" i="1" s="1"/>
  <c r="G160" i="1"/>
  <c r="H160" i="1" s="1"/>
  <c r="G159" i="1"/>
  <c r="H159" i="1" s="1"/>
  <c r="G158" i="1"/>
  <c r="H158" i="1" s="1"/>
  <c r="G157" i="1"/>
  <c r="H157" i="1" s="1"/>
  <c r="G156" i="1"/>
  <c r="H156" i="1" s="1"/>
  <c r="G155" i="1"/>
  <c r="H155" i="1" s="1"/>
  <c r="G154" i="1"/>
  <c r="H154" i="1" s="1"/>
  <c r="G153" i="1"/>
  <c r="H153" i="1" s="1"/>
  <c r="G152" i="1"/>
  <c r="H152" i="1" s="1"/>
  <c r="G151" i="1"/>
  <c r="H151" i="1" s="1"/>
  <c r="G150" i="1"/>
  <c r="H150" i="1" s="1"/>
  <c r="G149" i="1"/>
  <c r="H149" i="1" s="1"/>
  <c r="G148" i="1"/>
  <c r="H148" i="1" s="1"/>
  <c r="G147" i="1"/>
  <c r="H147" i="1" s="1"/>
  <c r="G146" i="1"/>
  <c r="H146" i="1" s="1"/>
  <c r="G145" i="1"/>
  <c r="H145" i="1" s="1"/>
  <c r="G144" i="1"/>
  <c r="H144" i="1" s="1"/>
  <c r="G143" i="1"/>
  <c r="H143" i="1" s="1"/>
  <c r="G142" i="1"/>
  <c r="H142" i="1" s="1"/>
  <c r="G141" i="1"/>
  <c r="H141" i="1" s="1"/>
  <c r="G140" i="1"/>
  <c r="H140" i="1" s="1"/>
  <c r="G139" i="1"/>
  <c r="H139" i="1" s="1"/>
  <c r="G138" i="1"/>
  <c r="H138" i="1" s="1"/>
  <c r="G137" i="1"/>
  <c r="H137" i="1" s="1"/>
  <c r="G136" i="1"/>
  <c r="H136" i="1" s="1"/>
  <c r="G135" i="1"/>
  <c r="H135" i="1" s="1"/>
  <c r="G134" i="1"/>
  <c r="H134" i="1" s="1"/>
  <c r="G133" i="1"/>
  <c r="H133" i="1" s="1"/>
  <c r="G132" i="1"/>
  <c r="H132" i="1" s="1"/>
  <c r="G131" i="1"/>
  <c r="H131" i="1" s="1"/>
  <c r="G130" i="1"/>
  <c r="H130" i="1" s="1"/>
  <c r="G129" i="1"/>
  <c r="H129" i="1" s="1"/>
  <c r="G128" i="1"/>
  <c r="H128" i="1" s="1"/>
  <c r="G127" i="1"/>
  <c r="H127" i="1" s="1"/>
  <c r="G126" i="1"/>
  <c r="H126" i="1" s="1"/>
  <c r="G125" i="1"/>
  <c r="H125" i="1" s="1"/>
  <c r="G124" i="1"/>
  <c r="H124" i="1" s="1"/>
  <c r="G123" i="1"/>
  <c r="H123" i="1" s="1"/>
  <c r="G122" i="1"/>
  <c r="H122" i="1" s="1"/>
  <c r="G121" i="1"/>
  <c r="H121" i="1" s="1"/>
  <c r="G120" i="1"/>
  <c r="H120" i="1" s="1"/>
  <c r="G119" i="1"/>
  <c r="H119" i="1" s="1"/>
  <c r="G118" i="1"/>
  <c r="H118" i="1" s="1"/>
  <c r="G117" i="1"/>
  <c r="H117" i="1" s="1"/>
  <c r="G116" i="1"/>
  <c r="H116" i="1" s="1"/>
  <c r="G115" i="1"/>
  <c r="H115" i="1" s="1"/>
  <c r="G114" i="1"/>
  <c r="H114" i="1" s="1"/>
  <c r="G113" i="1"/>
  <c r="H113" i="1" s="1"/>
  <c r="G112" i="1"/>
  <c r="H112" i="1" s="1"/>
  <c r="G111" i="1"/>
  <c r="H111" i="1" s="1"/>
  <c r="G110" i="1"/>
  <c r="H110" i="1" s="1"/>
  <c r="G109" i="1"/>
  <c r="H109" i="1" s="1"/>
  <c r="G108" i="1"/>
  <c r="H108" i="1" s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H102" i="1" s="1"/>
  <c r="G101" i="1"/>
  <c r="H101" i="1" s="1"/>
  <c r="G100" i="1"/>
  <c r="H100" i="1" s="1"/>
  <c r="G99" i="1"/>
  <c r="H99" i="1" s="1"/>
  <c r="G98" i="1"/>
  <c r="H98" i="1" s="1"/>
  <c r="G97" i="1"/>
  <c r="H97" i="1" s="1"/>
  <c r="G96" i="1"/>
  <c r="H96" i="1" s="1"/>
  <c r="G95" i="1"/>
  <c r="H95" i="1" s="1"/>
  <c r="G94" i="1"/>
  <c r="H94" i="1" s="1"/>
  <c r="G93" i="1"/>
  <c r="H93" i="1" s="1"/>
  <c r="G92" i="1"/>
  <c r="H92" i="1" s="1"/>
  <c r="G91" i="1"/>
  <c r="H91" i="1" s="1"/>
  <c r="G90" i="1"/>
  <c r="H90" i="1" s="1"/>
  <c r="G89" i="1"/>
  <c r="H89" i="1" s="1"/>
  <c r="G88" i="1"/>
  <c r="H88" i="1" s="1"/>
  <c r="G87" i="1"/>
  <c r="H87" i="1" s="1"/>
  <c r="G86" i="1"/>
  <c r="H86" i="1" s="1"/>
  <c r="G85" i="1"/>
  <c r="H85" i="1" s="1"/>
  <c r="G84" i="1"/>
  <c r="H84" i="1" s="1"/>
  <c r="G83" i="1"/>
  <c r="H83" i="1" s="1"/>
  <c r="G82" i="1"/>
  <c r="H82" i="1" s="1"/>
  <c r="G81" i="1"/>
  <c r="H81" i="1" s="1"/>
  <c r="G80" i="1"/>
  <c r="H80" i="1" s="1"/>
  <c r="G79" i="1"/>
  <c r="H79" i="1" s="1"/>
  <c r="G78" i="1"/>
  <c r="H78" i="1" s="1"/>
  <c r="G77" i="1"/>
  <c r="H77" i="1" s="1"/>
  <c r="G76" i="1"/>
  <c r="H76" i="1" s="1"/>
  <c r="G75" i="1"/>
  <c r="H75" i="1" s="1"/>
  <c r="G74" i="1"/>
  <c r="H74" i="1" s="1"/>
  <c r="G73" i="1"/>
  <c r="H73" i="1" s="1"/>
  <c r="G72" i="1"/>
  <c r="H72" i="1" s="1"/>
  <c r="G71" i="1"/>
  <c r="H71" i="1" s="1"/>
  <c r="G70" i="1"/>
  <c r="H70" i="1" s="1"/>
  <c r="G69" i="1"/>
  <c r="H69" i="1" s="1"/>
  <c r="G68" i="1"/>
  <c r="H68" i="1" s="1"/>
  <c r="G67" i="1"/>
  <c r="H67" i="1" s="1"/>
  <c r="G66" i="1"/>
  <c r="H66" i="1" s="1"/>
  <c r="G65" i="1"/>
  <c r="H65" i="1" s="1"/>
  <c r="G64" i="1"/>
  <c r="H64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G54" i="1"/>
  <c r="H54" i="1" s="1"/>
  <c r="G53" i="1"/>
  <c r="H53" i="1" s="1"/>
  <c r="G52" i="1"/>
  <c r="H52" i="1" s="1"/>
  <c r="G51" i="1"/>
  <c r="H51" i="1" s="1"/>
  <c r="G50" i="1"/>
  <c r="H50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G2" i="1"/>
  <c r="H2" i="1" s="1"/>
  <c r="B3" i="1"/>
  <c r="B4" i="1"/>
  <c r="B5" i="1" s="1"/>
  <c r="B6" i="1" s="1"/>
  <c r="B7" i="1" s="1"/>
  <c r="B8" i="1" s="1"/>
  <c r="B9" i="1" s="1"/>
  <c r="B10" i="1"/>
  <c r="B11" i="1" s="1"/>
  <c r="B12" i="1" s="1"/>
  <c r="B13" i="1" s="1"/>
  <c r="B14" i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/>
  <c r="B51" i="1" s="1"/>
  <c r="B52" i="1" s="1"/>
  <c r="B53" i="1" s="1"/>
  <c r="B54" i="1" s="1"/>
  <c r="B55" i="1" s="1"/>
  <c r="B56" i="1" s="1"/>
  <c r="B57" i="1"/>
  <c r="B58" i="1" s="1"/>
  <c r="B59" i="1" s="1"/>
  <c r="B60" i="1" s="1"/>
  <c r="B61" i="1" s="1"/>
  <c r="B62" i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</calcChain>
</file>

<file path=xl/sharedStrings.xml><?xml version="1.0" encoding="utf-8"?>
<sst xmlns="http://schemas.openxmlformats.org/spreadsheetml/2006/main" count="885" uniqueCount="387">
  <si>
    <t xml:space="preserve">month  </t>
  </si>
  <si>
    <t>Transaction #</t>
  </si>
  <si>
    <t>product code</t>
  </si>
  <si>
    <t xml:space="preserve">product description </t>
  </si>
  <si>
    <t>store cost</t>
  </si>
  <si>
    <t xml:space="preserve">sale price </t>
  </si>
  <si>
    <t>profit</t>
  </si>
  <si>
    <t>commision 10% for items less than 50$, 20% for items more than 50$</t>
  </si>
  <si>
    <t xml:space="preserve">firstname </t>
  </si>
  <si>
    <t>last name</t>
  </si>
  <si>
    <t>jan</t>
  </si>
  <si>
    <t>shirt</t>
  </si>
  <si>
    <t>john</t>
  </si>
  <si>
    <t>allen</t>
  </si>
  <si>
    <t>coat</t>
  </si>
  <si>
    <t>chris</t>
  </si>
  <si>
    <t>text to collum</t>
  </si>
  <si>
    <t>hat</t>
  </si>
  <si>
    <t>jon</t>
  </si>
  <si>
    <t>alwanarsh</t>
  </si>
  <si>
    <t>if</t>
  </si>
  <si>
    <t>pants</t>
  </si>
  <si>
    <t>jane</t>
  </si>
  <si>
    <t>b</t>
  </si>
  <si>
    <t>sumif</t>
  </si>
  <si>
    <t>red dye</t>
  </si>
  <si>
    <t>janet</t>
  </si>
  <si>
    <t>sort</t>
  </si>
  <si>
    <t>bucket</t>
  </si>
  <si>
    <t>marc</t>
  </si>
  <si>
    <t>filter</t>
  </si>
  <si>
    <t>paint set</t>
  </si>
  <si>
    <t>willard</t>
  </si>
  <si>
    <t>pivot tables</t>
  </si>
  <si>
    <t>nail kit</t>
  </si>
  <si>
    <t>bill</t>
  </si>
  <si>
    <t>pie chart</t>
  </si>
  <si>
    <t>water bottle pack</t>
  </si>
  <si>
    <t>jake</t>
  </si>
  <si>
    <t>wine cooler</t>
  </si>
  <si>
    <t>kiki</t>
  </si>
  <si>
    <t>ziplock</t>
  </si>
  <si>
    <t>jacob</t>
  </si>
  <si>
    <t xml:space="preserve">condoms </t>
  </si>
  <si>
    <t>ronlald</t>
  </si>
  <si>
    <t>table</t>
  </si>
  <si>
    <t>beatrice</t>
  </si>
  <si>
    <t>stool</t>
  </si>
  <si>
    <t>isiah</t>
  </si>
  <si>
    <t>paintbrush</t>
  </si>
  <si>
    <t>jacobs</t>
  </si>
  <si>
    <t>airsoft gun</t>
  </si>
  <si>
    <t>david</t>
  </si>
  <si>
    <t>feb</t>
  </si>
  <si>
    <t>tennis ball</t>
  </si>
  <si>
    <t>paul</t>
  </si>
  <si>
    <t>basketball</t>
  </si>
  <si>
    <t>muhammed</t>
  </si>
  <si>
    <t xml:space="preserve">bosxing gloves </t>
  </si>
  <si>
    <t xml:space="preserve">baseball </t>
  </si>
  <si>
    <t>sarah</t>
  </si>
  <si>
    <t>bat</t>
  </si>
  <si>
    <t>sarai</t>
  </si>
  <si>
    <t xml:space="preserve">wine opener </t>
  </si>
  <si>
    <t>mariah</t>
  </si>
  <si>
    <t>hair spray</t>
  </si>
  <si>
    <t>lucas</t>
  </si>
  <si>
    <t>book</t>
  </si>
  <si>
    <t>pascal</t>
  </si>
  <si>
    <t>candle</t>
  </si>
  <si>
    <t>chase</t>
  </si>
  <si>
    <t xml:space="preserve">8 in hose </t>
  </si>
  <si>
    <t>william</t>
  </si>
  <si>
    <t>basketball hoop</t>
  </si>
  <si>
    <t>nicolas</t>
  </si>
  <si>
    <t xml:space="preserve">slide </t>
  </si>
  <si>
    <t>hunter</t>
  </si>
  <si>
    <t>dog cage</t>
  </si>
  <si>
    <t>gary</t>
  </si>
  <si>
    <t xml:space="preserve">leash </t>
  </si>
  <si>
    <t>barnes</t>
  </si>
  <si>
    <t xml:space="preserve">ash trey </t>
  </si>
  <si>
    <t>gilbert</t>
  </si>
  <si>
    <t>weed grinder</t>
  </si>
  <si>
    <t xml:space="preserve">beanie </t>
  </si>
  <si>
    <t>mar</t>
  </si>
  <si>
    <t>galaxy wolf hoodie</t>
  </si>
  <si>
    <t>caleb</t>
  </si>
  <si>
    <t>painting</t>
  </si>
  <si>
    <t>stephon</t>
  </si>
  <si>
    <t xml:space="preserve">canvas </t>
  </si>
  <si>
    <t>harrioson</t>
  </si>
  <si>
    <t>spray can</t>
  </si>
  <si>
    <t>daniel</t>
  </si>
  <si>
    <t xml:space="preserve">lotion </t>
  </si>
  <si>
    <t>jay</t>
  </si>
  <si>
    <t>soap</t>
  </si>
  <si>
    <t>travis</t>
  </si>
  <si>
    <t>tampon</t>
  </si>
  <si>
    <t>trevor</t>
  </si>
  <si>
    <t>portable charger</t>
  </si>
  <si>
    <t>taylor</t>
  </si>
  <si>
    <t>toy</t>
  </si>
  <si>
    <t>alex</t>
  </si>
  <si>
    <t xml:space="preserve">glasses </t>
  </si>
  <si>
    <t>alexa</t>
  </si>
  <si>
    <t>chair</t>
  </si>
  <si>
    <t>doug  c</t>
  </si>
  <si>
    <t>hammer</t>
  </si>
  <si>
    <t>etj</t>
  </si>
  <si>
    <t xml:space="preserve">toolkit </t>
  </si>
  <si>
    <t>mick</t>
  </si>
  <si>
    <t xml:space="preserve">tires </t>
  </si>
  <si>
    <t>air conditon</t>
  </si>
  <si>
    <t>lock</t>
  </si>
  <si>
    <t>kitchen set</t>
  </si>
  <si>
    <t>deez</t>
  </si>
  <si>
    <t>laptop</t>
  </si>
  <si>
    <t>Marcus</t>
  </si>
  <si>
    <t>wireless mouse</t>
  </si>
  <si>
    <t>jalen.q</t>
  </si>
  <si>
    <t>apr</t>
  </si>
  <si>
    <t xml:space="preserve">wired mouse </t>
  </si>
  <si>
    <t>jalen</t>
  </si>
  <si>
    <t xml:space="preserve">xbox </t>
  </si>
  <si>
    <t>derick</t>
  </si>
  <si>
    <t>ps5 controller</t>
  </si>
  <si>
    <t>christian</t>
  </si>
  <si>
    <t xml:space="preserve">blue light glasses </t>
  </si>
  <si>
    <t>bloody</t>
  </si>
  <si>
    <t xml:space="preserve">window curtains </t>
  </si>
  <si>
    <t>marie</t>
  </si>
  <si>
    <t xml:space="preserve">oculus </t>
  </si>
  <si>
    <t>kevin</t>
  </si>
  <si>
    <t>stanley cup</t>
  </si>
  <si>
    <t xml:space="preserve">oakley glasses </t>
  </si>
  <si>
    <t>montrell</t>
  </si>
  <si>
    <t xml:space="preserve">keyboard </t>
  </si>
  <si>
    <t>piano</t>
  </si>
  <si>
    <t>deja</t>
  </si>
  <si>
    <t>record player</t>
  </si>
  <si>
    <t>idris</t>
  </si>
  <si>
    <t>movie dvd</t>
  </si>
  <si>
    <t>jesus</t>
  </si>
  <si>
    <t>projecter</t>
  </si>
  <si>
    <t>wilner</t>
  </si>
  <si>
    <t xml:space="preserve">lawn mower </t>
  </si>
  <si>
    <t>wilson</t>
  </si>
  <si>
    <t xml:space="preserve">vaccum </t>
  </si>
  <si>
    <t>tobias</t>
  </si>
  <si>
    <t>spray tan</t>
  </si>
  <si>
    <t>tomhas</t>
  </si>
  <si>
    <t>sunsreen</t>
  </si>
  <si>
    <t>raja</t>
  </si>
  <si>
    <t>may</t>
  </si>
  <si>
    <t>stress ball</t>
  </si>
  <si>
    <t>treybon</t>
  </si>
  <si>
    <t>foam roller</t>
  </si>
  <si>
    <t>johnson</t>
  </si>
  <si>
    <t>massage gun</t>
  </si>
  <si>
    <t>jaden</t>
  </si>
  <si>
    <t>knee brace</t>
  </si>
  <si>
    <t>marquis</t>
  </si>
  <si>
    <t xml:space="preserve">bike </t>
  </si>
  <si>
    <t>fred</t>
  </si>
  <si>
    <t>skateboard</t>
  </si>
  <si>
    <t>peyton</t>
  </si>
  <si>
    <t xml:space="preserve">kite </t>
  </si>
  <si>
    <t>jordan</t>
  </si>
  <si>
    <t xml:space="preserve">lighter </t>
  </si>
  <si>
    <t>donavan</t>
  </si>
  <si>
    <t>tent set</t>
  </si>
  <si>
    <t>bookbag</t>
  </si>
  <si>
    <t>benjamin</t>
  </si>
  <si>
    <t>grill</t>
  </si>
  <si>
    <t>tim</t>
  </si>
  <si>
    <t xml:space="preserve">air fryer </t>
  </si>
  <si>
    <t>tom</t>
  </si>
  <si>
    <t xml:space="preserve">fridge </t>
  </si>
  <si>
    <t>lebron</t>
  </si>
  <si>
    <t xml:space="preserve">pen set </t>
  </si>
  <si>
    <t>donald</t>
  </si>
  <si>
    <t>noteook</t>
  </si>
  <si>
    <t>maddison</t>
  </si>
  <si>
    <t>folder</t>
  </si>
  <si>
    <t>achie</t>
  </si>
  <si>
    <t>binder</t>
  </si>
  <si>
    <t>kannon</t>
  </si>
  <si>
    <t>pigment set</t>
  </si>
  <si>
    <t>sue</t>
  </si>
  <si>
    <t>jun</t>
  </si>
  <si>
    <t xml:space="preserve">sandals </t>
  </si>
  <si>
    <t>Ethan</t>
  </si>
  <si>
    <t xml:space="preserve">slides </t>
  </si>
  <si>
    <t>tenisha</t>
  </si>
  <si>
    <t>hiking shoes</t>
  </si>
  <si>
    <t>jose</t>
  </si>
  <si>
    <t>roller blades</t>
  </si>
  <si>
    <t xml:space="preserve">key b </t>
  </si>
  <si>
    <t>derma roller</t>
  </si>
  <si>
    <t>key</t>
  </si>
  <si>
    <t>minoxidil</t>
  </si>
  <si>
    <t>hair oil</t>
  </si>
  <si>
    <t>fridge magnet</t>
  </si>
  <si>
    <t>flour</t>
  </si>
  <si>
    <t>printer</t>
  </si>
  <si>
    <t>moniter</t>
  </si>
  <si>
    <t>american flag</t>
  </si>
  <si>
    <t>tea maker</t>
  </si>
  <si>
    <t>air freshner</t>
  </si>
  <si>
    <t xml:space="preserve">incents </t>
  </si>
  <si>
    <t>toothbrush</t>
  </si>
  <si>
    <t>mouthwash</t>
  </si>
  <si>
    <t>toothpaste</t>
  </si>
  <si>
    <t>jul</t>
  </si>
  <si>
    <t>hair gel</t>
  </si>
  <si>
    <t>candle set</t>
  </si>
  <si>
    <t xml:space="preserve">cologne </t>
  </si>
  <si>
    <t>perfume</t>
  </si>
  <si>
    <t>pimple patches</t>
  </si>
  <si>
    <t>baker</t>
  </si>
  <si>
    <t xml:space="preserve">moisterizer </t>
  </si>
  <si>
    <t>bans</t>
  </si>
  <si>
    <t>stainless steel pan</t>
  </si>
  <si>
    <t>mop</t>
  </si>
  <si>
    <t>broom</t>
  </si>
  <si>
    <t>blink</t>
  </si>
  <si>
    <t>football</t>
  </si>
  <si>
    <t>blunt</t>
  </si>
  <si>
    <t xml:space="preserve">tennis racket </t>
  </si>
  <si>
    <t>boi</t>
  </si>
  <si>
    <t>heavy bag</t>
  </si>
  <si>
    <t>bradley</t>
  </si>
  <si>
    <t>coal</t>
  </si>
  <si>
    <t>braming</t>
  </si>
  <si>
    <t>stroller</t>
  </si>
  <si>
    <t>brathwait</t>
  </si>
  <si>
    <t>baby powder</t>
  </si>
  <si>
    <t>brude</t>
  </si>
  <si>
    <t>baby oil</t>
  </si>
  <si>
    <t>brunson</t>
  </si>
  <si>
    <t xml:space="preserve">babywipes </t>
  </si>
  <si>
    <t>bucks</t>
  </si>
  <si>
    <t>baby food</t>
  </si>
  <si>
    <t>budd</t>
  </si>
  <si>
    <t>aug</t>
  </si>
  <si>
    <t>toilet paper</t>
  </si>
  <si>
    <t>button</t>
  </si>
  <si>
    <t>napkins</t>
  </si>
  <si>
    <t>cambidge</t>
  </si>
  <si>
    <t>paper towels</t>
  </si>
  <si>
    <t>castle</t>
  </si>
  <si>
    <t>mat</t>
  </si>
  <si>
    <t>clipp</t>
  </si>
  <si>
    <t xml:space="preserve">ring dorbell </t>
  </si>
  <si>
    <t>cohen</t>
  </si>
  <si>
    <t xml:space="preserve">camera </t>
  </si>
  <si>
    <t>cooper</t>
  </si>
  <si>
    <t>airpods</t>
  </si>
  <si>
    <t>daily</t>
  </si>
  <si>
    <t>earphones</t>
  </si>
  <si>
    <t>davidson</t>
  </si>
  <si>
    <t xml:space="preserve">headphones </t>
  </si>
  <si>
    <t>davis</t>
  </si>
  <si>
    <t>drumpad</t>
  </si>
  <si>
    <t>dent</t>
  </si>
  <si>
    <t>jeans</t>
  </si>
  <si>
    <t>doe</t>
  </si>
  <si>
    <t>shoes</t>
  </si>
  <si>
    <t>dotson</t>
  </si>
  <si>
    <t>hoodie</t>
  </si>
  <si>
    <t>fall</t>
  </si>
  <si>
    <t>belt</t>
  </si>
  <si>
    <t>flagg</t>
  </si>
  <si>
    <t>watch</t>
  </si>
  <si>
    <t>folk</t>
  </si>
  <si>
    <t>bracelet</t>
  </si>
  <si>
    <t>gash</t>
  </si>
  <si>
    <t>sep</t>
  </si>
  <si>
    <t xml:space="preserve">neklace </t>
  </si>
  <si>
    <t>hack</t>
  </si>
  <si>
    <t xml:space="preserve">earrings </t>
  </si>
  <si>
    <t>harriosn</t>
  </si>
  <si>
    <t>chain</t>
  </si>
  <si>
    <t>hawk</t>
  </si>
  <si>
    <t>wallet</t>
  </si>
  <si>
    <t>hernandez</t>
  </si>
  <si>
    <t xml:space="preserve">keychain </t>
  </si>
  <si>
    <t xml:space="preserve">shades </t>
  </si>
  <si>
    <t>hsh</t>
  </si>
  <si>
    <t>buckethat</t>
  </si>
  <si>
    <t>hunte</t>
  </si>
  <si>
    <t>party set</t>
  </si>
  <si>
    <t>connect 4</t>
  </si>
  <si>
    <t>hurter</t>
  </si>
  <si>
    <t>blender</t>
  </si>
  <si>
    <t>hustle</t>
  </si>
  <si>
    <t xml:space="preserve">protein bar </t>
  </si>
  <si>
    <t>in</t>
  </si>
  <si>
    <t>protein powder</t>
  </si>
  <si>
    <t xml:space="preserve">goft card </t>
  </si>
  <si>
    <t>james</t>
  </si>
  <si>
    <t>pinyata</t>
  </si>
  <si>
    <t>party mic</t>
  </si>
  <si>
    <t xml:space="preserve">pins </t>
  </si>
  <si>
    <t>jones</t>
  </si>
  <si>
    <t xml:space="preserve">visors </t>
  </si>
  <si>
    <t>jr</t>
  </si>
  <si>
    <t>oct</t>
  </si>
  <si>
    <t xml:space="preserve">telescope </t>
  </si>
  <si>
    <t>lawrence</t>
  </si>
  <si>
    <t xml:space="preserve">night goggles </t>
  </si>
  <si>
    <t>lee</t>
  </si>
  <si>
    <t>action figure</t>
  </si>
  <si>
    <t>lewis</t>
  </si>
  <si>
    <t>bead set</t>
  </si>
  <si>
    <t>livon</t>
  </si>
  <si>
    <t>wide tooth comb</t>
  </si>
  <si>
    <t>malkalava</t>
  </si>
  <si>
    <t>rat tail comb</t>
  </si>
  <si>
    <t>man</t>
  </si>
  <si>
    <t>mouse traps</t>
  </si>
  <si>
    <t>fly trap</t>
  </si>
  <si>
    <t>milado</t>
  </si>
  <si>
    <t xml:space="preserve">agility ladder </t>
  </si>
  <si>
    <t>mits</t>
  </si>
  <si>
    <t xml:space="preserve">nail clipper </t>
  </si>
  <si>
    <t>mitts</t>
  </si>
  <si>
    <t xml:space="preserve">pocket knife </t>
  </si>
  <si>
    <t>motts</t>
  </si>
  <si>
    <t>bow tie</t>
  </si>
  <si>
    <t>mouse</t>
  </si>
  <si>
    <t>gum</t>
  </si>
  <si>
    <t>Nicolas</t>
  </si>
  <si>
    <t>boxer set</t>
  </si>
  <si>
    <t>niks</t>
  </si>
  <si>
    <t>undershirt set</t>
  </si>
  <si>
    <t>nippard</t>
  </si>
  <si>
    <t xml:space="preserve">pajamas </t>
  </si>
  <si>
    <t>nuta</t>
  </si>
  <si>
    <t xml:space="preserve">christmas hat </t>
  </si>
  <si>
    <t>parker</t>
  </si>
  <si>
    <t>air fryer</t>
  </si>
  <si>
    <t>perry</t>
  </si>
  <si>
    <t>nov</t>
  </si>
  <si>
    <t>football sleeve</t>
  </si>
  <si>
    <t>pey</t>
  </si>
  <si>
    <t>gatorade water bottle</t>
  </si>
  <si>
    <t>queen</t>
  </si>
  <si>
    <t>compression shorts</t>
  </si>
  <si>
    <t>rage</t>
  </si>
  <si>
    <t>hand wrap</t>
  </si>
  <si>
    <t>ross</t>
  </si>
  <si>
    <t>swim cap</t>
  </si>
  <si>
    <t>sasser</t>
  </si>
  <si>
    <t>wine glass set</t>
  </si>
  <si>
    <t>sdd</t>
  </si>
  <si>
    <t>cigars</t>
  </si>
  <si>
    <t>smith</t>
  </si>
  <si>
    <t xml:space="preserve">cigerettes </t>
  </si>
  <si>
    <t>hair clippers</t>
  </si>
  <si>
    <t>trump</t>
  </si>
  <si>
    <t>shaving cream</t>
  </si>
  <si>
    <t>villard</t>
  </si>
  <si>
    <t>prop money</t>
  </si>
  <si>
    <t>walker</t>
  </si>
  <si>
    <t>money counter</t>
  </si>
  <si>
    <t>white</t>
  </si>
  <si>
    <t>microwave</t>
  </si>
  <si>
    <t>wilks</t>
  </si>
  <si>
    <t>jacket</t>
  </si>
  <si>
    <t>will</t>
  </si>
  <si>
    <t>scarf</t>
  </si>
  <si>
    <t>wright</t>
  </si>
  <si>
    <t>blanket</t>
  </si>
  <si>
    <t>young</t>
  </si>
  <si>
    <t>lamp</t>
  </si>
  <si>
    <t>dec</t>
  </si>
  <si>
    <t xml:space="preserve">deorderant </t>
  </si>
  <si>
    <t>yung</t>
  </si>
  <si>
    <t xml:space="preserve">sum of all items </t>
  </si>
  <si>
    <t>sum of items more than 50$</t>
  </si>
  <si>
    <t>sum of items less than 50$</t>
  </si>
  <si>
    <t>Ethan Nicolas</t>
  </si>
  <si>
    <t xml:space="preserve">Sum of sale price 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</si>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</sst>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_([$$-409]* #,##0.00_);_([$$-409]* \(#,##0.00\);_([$$-409]* &quot;-&quot;??_);_(@_)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4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wrapText="1"/>
    </xf>
    <xf numFmtId="165" fontId="0" fillId="0" borderId="0" xfId="0" applyNumberFormat="1" applyAlignment="1">
      <alignment horizontal="left" wrapText="1"/>
    </xf>
    <xf numFmtId="0" fontId="0" fillId="0" borderId="0" xfId="0" pivotButton="1"/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">
    <dxf>
      <numFmt numFmtId="165" formatCode="_([$$-409]* #,##0.00_);_([$$-409]* \(#,##0.00\);_([$$-409]* &quot;-&quot;??_);_(@_)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database project.xlsx]Sheet2!PivotTable3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A2-42DC-BF05-365DB3E68D95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A2-42DC-BF05-365DB3E68D95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5A2-42DC-BF05-365DB3E68D95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5A2-42DC-BF05-365DB3E68D95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5A2-42DC-BF05-365DB3E68D95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5A2-42DC-BF05-365DB3E68D95}"/>
              </c:ext>
            </c:extLst>
          </c:dPt>
          <c:dPt>
            <c:idx val="6"/>
            <c:bubble3D val="0"/>
            <c:spPr>
              <a:solidFill>
                <a:srgbClr val="CA50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5A2-42DC-BF05-365DB3E68D95}"/>
              </c:ext>
            </c:extLst>
          </c:dPt>
          <c:dPt>
            <c:idx val="7"/>
            <c:bubble3D val="0"/>
            <c:spPr>
              <a:solidFill>
                <a:srgbClr val="5781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5A2-42DC-BF05-365DB3E68D95}"/>
              </c:ext>
            </c:extLst>
          </c:dPt>
          <c:dPt>
            <c:idx val="8"/>
            <c:bubble3D val="0"/>
            <c:spPr>
              <a:solidFill>
                <a:srgbClr val="B146C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5A2-42DC-BF05-365DB3E68D95}"/>
              </c:ext>
            </c:extLst>
          </c:dPt>
          <c:dPt>
            <c:idx val="9"/>
            <c:bubble3D val="0"/>
            <c:spPr>
              <a:solidFill>
                <a:srgbClr val="AE8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5A2-42DC-BF05-365DB3E68D95}"/>
              </c:ext>
            </c:extLst>
          </c:dPt>
          <c:dPt>
            <c:idx val="10"/>
            <c:bubble3D val="0"/>
            <c:spPr>
              <a:solidFill>
                <a:srgbClr val="AE8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5A2-42DC-BF05-365DB3E68D95}"/>
              </c:ext>
            </c:extLst>
          </c:dPt>
          <c:dPt>
            <c:idx val="11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5A2-42DC-BF05-365DB3E68D95}"/>
              </c:ext>
            </c:extLst>
          </c:dPt>
          <c:dPt>
            <c:idx val="12"/>
            <c:bubble3D val="0"/>
            <c:spPr>
              <a:solidFill>
                <a:srgbClr val="EE5FB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5A2-42DC-BF05-365DB3E68D95}"/>
              </c:ext>
            </c:extLst>
          </c:dPt>
          <c:dPt>
            <c:idx val="13"/>
            <c:bubble3D val="0"/>
            <c:spPr>
              <a:solidFill>
                <a:srgbClr val="008B9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5A2-42DC-BF05-365DB3E68D95}"/>
              </c:ext>
            </c:extLst>
          </c:dPt>
          <c:dPt>
            <c:idx val="14"/>
            <c:bubble3D val="0"/>
            <c:spPr>
              <a:solidFill>
                <a:srgbClr val="D7744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5A2-42DC-BF05-365DB3E68D95}"/>
              </c:ext>
            </c:extLst>
          </c:dPt>
          <c:dPt>
            <c:idx val="15"/>
            <c:bubble3D val="0"/>
            <c:spPr>
              <a:solidFill>
                <a:srgbClr val="BA58C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5A2-42DC-BF05-365DB3E68D95}"/>
              </c:ext>
            </c:extLst>
          </c:dPt>
          <c:dPt>
            <c:idx val="16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5A2-42DC-BF05-365DB3E68D95}"/>
              </c:ext>
            </c:extLst>
          </c:dPt>
          <c:dPt>
            <c:idx val="17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D5A2-42DC-BF05-365DB3E68D95}"/>
              </c:ext>
            </c:extLst>
          </c:dPt>
          <c:dPt>
            <c:idx val="18"/>
            <c:bubble3D val="0"/>
            <c:spPr>
              <a:solidFill>
                <a:srgbClr val="C36BD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D5A2-42DC-BF05-365DB3E68D95}"/>
              </c:ext>
            </c:extLst>
          </c:dPt>
          <c:dPt>
            <c:idx val="19"/>
            <c:bubble3D val="0"/>
            <c:spPr>
              <a:solidFill>
                <a:srgbClr val="D062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D5A2-42DC-BF05-365DB3E68D95}"/>
              </c:ext>
            </c:extLst>
          </c:dPt>
          <c:dPt>
            <c:idx val="20"/>
            <c:bubble3D val="0"/>
            <c:spPr>
              <a:solidFill>
                <a:srgbClr val="5781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D5A2-42DC-BF05-365DB3E68D95}"/>
              </c:ext>
            </c:extLst>
          </c:dPt>
          <c:dPt>
            <c:idx val="21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D5A2-42DC-BF05-365DB3E68D95}"/>
              </c:ext>
            </c:extLst>
          </c:dPt>
          <c:dPt>
            <c:idx val="22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D5A2-42DC-BF05-365DB3E68D95}"/>
              </c:ext>
            </c:extLst>
          </c:dPt>
          <c:dPt>
            <c:idx val="23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D5A2-42DC-BF05-365DB3E68D95}"/>
              </c:ext>
            </c:extLst>
          </c:dPt>
          <c:dPt>
            <c:idx val="24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D5A2-42DC-BF05-365DB3E68D95}"/>
              </c:ext>
            </c:extLst>
          </c:dPt>
          <c:dPt>
            <c:idx val="25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D5A2-42DC-BF05-365DB3E68D95}"/>
              </c:ext>
            </c:extLst>
          </c:dPt>
          <c:dPt>
            <c:idx val="26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D5A2-42DC-BF05-365DB3E68D95}"/>
              </c:ext>
            </c:extLst>
          </c:dPt>
          <c:dPt>
            <c:idx val="27"/>
            <c:bubble3D val="0"/>
            <c:spPr>
              <a:solidFill>
                <a:srgbClr val="CA50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D5A2-42DC-BF05-365DB3E68D95}"/>
              </c:ext>
            </c:extLst>
          </c:dPt>
          <c:dPt>
            <c:idx val="28"/>
            <c:bubble3D val="0"/>
            <c:spPr>
              <a:solidFill>
                <a:srgbClr val="5781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D5A2-42DC-BF05-365DB3E68D95}"/>
              </c:ext>
            </c:extLst>
          </c:dPt>
          <c:dPt>
            <c:idx val="29"/>
            <c:bubble3D val="0"/>
            <c:spPr>
              <a:solidFill>
                <a:srgbClr val="B146C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D5A2-42DC-BF05-365DB3E68D95}"/>
              </c:ext>
            </c:extLst>
          </c:dPt>
          <c:dPt>
            <c:idx val="30"/>
            <c:bubble3D val="0"/>
            <c:spPr>
              <a:solidFill>
                <a:srgbClr val="AE8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D5A2-42DC-BF05-365DB3E68D95}"/>
              </c:ext>
            </c:extLst>
          </c:dPt>
          <c:dPt>
            <c:idx val="31"/>
            <c:bubble3D val="0"/>
            <c:spPr>
              <a:solidFill>
                <a:srgbClr val="AE8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D5A2-42DC-BF05-365DB3E68D95}"/>
              </c:ext>
            </c:extLst>
          </c:dPt>
          <c:dPt>
            <c:idx val="32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D5A2-42DC-BF05-365DB3E68D95}"/>
              </c:ext>
            </c:extLst>
          </c:dPt>
          <c:dPt>
            <c:idx val="33"/>
            <c:bubble3D val="0"/>
            <c:spPr>
              <a:solidFill>
                <a:srgbClr val="EE5FB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D5A2-42DC-BF05-365DB3E68D95}"/>
              </c:ext>
            </c:extLst>
          </c:dPt>
          <c:dPt>
            <c:idx val="34"/>
            <c:bubble3D val="0"/>
            <c:spPr>
              <a:solidFill>
                <a:srgbClr val="008B9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D5A2-42DC-BF05-365DB3E68D95}"/>
              </c:ext>
            </c:extLst>
          </c:dPt>
          <c:dPt>
            <c:idx val="35"/>
            <c:bubble3D val="0"/>
            <c:spPr>
              <a:solidFill>
                <a:srgbClr val="D7744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D5A2-42DC-BF05-365DB3E68D95}"/>
              </c:ext>
            </c:extLst>
          </c:dPt>
          <c:dPt>
            <c:idx val="36"/>
            <c:bubble3D val="0"/>
            <c:spPr>
              <a:solidFill>
                <a:srgbClr val="BA58C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D5A2-42DC-BF05-365DB3E68D95}"/>
              </c:ext>
            </c:extLst>
          </c:dPt>
          <c:dPt>
            <c:idx val="37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D5A2-42DC-BF05-365DB3E68D95}"/>
              </c:ext>
            </c:extLst>
          </c:dPt>
          <c:dPt>
            <c:idx val="38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D5A2-42DC-BF05-365DB3E68D95}"/>
              </c:ext>
            </c:extLst>
          </c:dPt>
          <c:dPt>
            <c:idx val="39"/>
            <c:bubble3D val="0"/>
            <c:spPr>
              <a:solidFill>
                <a:srgbClr val="C36BD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D5A2-42DC-BF05-365DB3E68D95}"/>
              </c:ext>
            </c:extLst>
          </c:dPt>
          <c:dPt>
            <c:idx val="40"/>
            <c:bubble3D val="0"/>
            <c:spPr>
              <a:solidFill>
                <a:srgbClr val="D062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D5A2-42DC-BF05-365DB3E68D95}"/>
              </c:ext>
            </c:extLst>
          </c:dPt>
          <c:dPt>
            <c:idx val="41"/>
            <c:bubble3D val="0"/>
            <c:spPr>
              <a:solidFill>
                <a:srgbClr val="5781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D5A2-42DC-BF05-365DB3E68D95}"/>
              </c:ext>
            </c:extLst>
          </c:dPt>
          <c:dPt>
            <c:idx val="42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D5A2-42DC-BF05-365DB3E68D95}"/>
              </c:ext>
            </c:extLst>
          </c:dPt>
          <c:dPt>
            <c:idx val="43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D5A2-42DC-BF05-365DB3E68D95}"/>
              </c:ext>
            </c:extLst>
          </c:dPt>
          <c:dPt>
            <c:idx val="44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D5A2-42DC-BF05-365DB3E68D95}"/>
              </c:ext>
            </c:extLst>
          </c:dPt>
          <c:dPt>
            <c:idx val="45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D5A2-42DC-BF05-365DB3E68D95}"/>
              </c:ext>
            </c:extLst>
          </c:dPt>
          <c:dPt>
            <c:idx val="46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D5A2-42DC-BF05-365DB3E68D95}"/>
              </c:ext>
            </c:extLst>
          </c:dPt>
          <c:dPt>
            <c:idx val="47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D5A2-42DC-BF05-365DB3E68D95}"/>
              </c:ext>
            </c:extLst>
          </c:dPt>
          <c:dPt>
            <c:idx val="48"/>
            <c:bubble3D val="0"/>
            <c:spPr>
              <a:solidFill>
                <a:srgbClr val="CA50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D5A2-42DC-BF05-365DB3E68D95}"/>
              </c:ext>
            </c:extLst>
          </c:dPt>
          <c:dPt>
            <c:idx val="49"/>
            <c:bubble3D val="0"/>
            <c:spPr>
              <a:solidFill>
                <a:srgbClr val="5781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D5A2-42DC-BF05-365DB3E68D95}"/>
              </c:ext>
            </c:extLst>
          </c:dPt>
          <c:dPt>
            <c:idx val="50"/>
            <c:bubble3D val="0"/>
            <c:spPr>
              <a:solidFill>
                <a:srgbClr val="B146C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D5A2-42DC-BF05-365DB3E68D95}"/>
              </c:ext>
            </c:extLst>
          </c:dPt>
          <c:dPt>
            <c:idx val="51"/>
            <c:bubble3D val="0"/>
            <c:spPr>
              <a:solidFill>
                <a:srgbClr val="AE8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D5A2-42DC-BF05-365DB3E68D95}"/>
              </c:ext>
            </c:extLst>
          </c:dPt>
          <c:dPt>
            <c:idx val="52"/>
            <c:bubble3D val="0"/>
            <c:spPr>
              <a:solidFill>
                <a:srgbClr val="AE8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D5A2-42DC-BF05-365DB3E68D95}"/>
              </c:ext>
            </c:extLst>
          </c:dPt>
          <c:dPt>
            <c:idx val="53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D5A2-42DC-BF05-365DB3E68D95}"/>
              </c:ext>
            </c:extLst>
          </c:dPt>
          <c:dPt>
            <c:idx val="54"/>
            <c:bubble3D val="0"/>
            <c:spPr>
              <a:solidFill>
                <a:srgbClr val="EE5FB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D5A2-42DC-BF05-365DB3E68D95}"/>
              </c:ext>
            </c:extLst>
          </c:dPt>
          <c:dPt>
            <c:idx val="55"/>
            <c:bubble3D val="0"/>
            <c:spPr>
              <a:solidFill>
                <a:srgbClr val="008B9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D5A2-42DC-BF05-365DB3E68D95}"/>
              </c:ext>
            </c:extLst>
          </c:dPt>
          <c:dPt>
            <c:idx val="56"/>
            <c:bubble3D val="0"/>
            <c:spPr>
              <a:solidFill>
                <a:srgbClr val="D7744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D5A2-42DC-BF05-365DB3E68D95}"/>
              </c:ext>
            </c:extLst>
          </c:dPt>
          <c:dPt>
            <c:idx val="57"/>
            <c:bubble3D val="0"/>
            <c:spPr>
              <a:solidFill>
                <a:srgbClr val="BA58C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D5A2-42DC-BF05-365DB3E68D95}"/>
              </c:ext>
            </c:extLst>
          </c:dPt>
          <c:dPt>
            <c:idx val="58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D5A2-42DC-BF05-365DB3E68D95}"/>
              </c:ext>
            </c:extLst>
          </c:dPt>
          <c:dPt>
            <c:idx val="59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D5A2-42DC-BF05-365DB3E68D95}"/>
              </c:ext>
            </c:extLst>
          </c:dPt>
          <c:dPt>
            <c:idx val="60"/>
            <c:bubble3D val="0"/>
            <c:spPr>
              <a:solidFill>
                <a:srgbClr val="C36BD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D5A2-42DC-BF05-365DB3E68D95}"/>
              </c:ext>
            </c:extLst>
          </c:dPt>
          <c:dPt>
            <c:idx val="61"/>
            <c:bubble3D val="0"/>
            <c:spPr>
              <a:solidFill>
                <a:srgbClr val="D062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D5A2-42DC-BF05-365DB3E68D95}"/>
              </c:ext>
            </c:extLst>
          </c:dPt>
          <c:dPt>
            <c:idx val="62"/>
            <c:bubble3D val="0"/>
            <c:spPr>
              <a:solidFill>
                <a:srgbClr val="5781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D5A2-42DC-BF05-365DB3E68D95}"/>
              </c:ext>
            </c:extLst>
          </c:dPt>
          <c:dPt>
            <c:idx val="63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D5A2-42DC-BF05-365DB3E68D95}"/>
              </c:ext>
            </c:extLst>
          </c:dPt>
          <c:dPt>
            <c:idx val="64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D5A2-42DC-BF05-365DB3E68D95}"/>
              </c:ext>
            </c:extLst>
          </c:dPt>
          <c:dPt>
            <c:idx val="65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D5A2-42DC-BF05-365DB3E68D95}"/>
              </c:ext>
            </c:extLst>
          </c:dPt>
          <c:dPt>
            <c:idx val="66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D5A2-42DC-BF05-365DB3E68D95}"/>
              </c:ext>
            </c:extLst>
          </c:dPt>
          <c:dPt>
            <c:idx val="67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D5A2-42DC-BF05-365DB3E68D95}"/>
              </c:ext>
            </c:extLst>
          </c:dPt>
          <c:dPt>
            <c:idx val="68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D5A2-42DC-BF05-365DB3E68D95}"/>
              </c:ext>
            </c:extLst>
          </c:dPt>
          <c:dPt>
            <c:idx val="69"/>
            <c:bubble3D val="0"/>
            <c:spPr>
              <a:solidFill>
                <a:srgbClr val="CA50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D5A2-42DC-BF05-365DB3E68D95}"/>
              </c:ext>
            </c:extLst>
          </c:dPt>
          <c:dPt>
            <c:idx val="70"/>
            <c:bubble3D val="0"/>
            <c:spPr>
              <a:solidFill>
                <a:srgbClr val="5781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D5A2-42DC-BF05-365DB3E68D95}"/>
              </c:ext>
            </c:extLst>
          </c:dPt>
          <c:dPt>
            <c:idx val="71"/>
            <c:bubble3D val="0"/>
            <c:spPr>
              <a:solidFill>
                <a:srgbClr val="B146C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D5A2-42DC-BF05-365DB3E68D95}"/>
              </c:ext>
            </c:extLst>
          </c:dPt>
          <c:dPt>
            <c:idx val="72"/>
            <c:bubble3D val="0"/>
            <c:spPr>
              <a:solidFill>
                <a:srgbClr val="AE8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D5A2-42DC-BF05-365DB3E68D95}"/>
              </c:ext>
            </c:extLst>
          </c:dPt>
          <c:dPt>
            <c:idx val="73"/>
            <c:bubble3D val="0"/>
            <c:spPr>
              <a:solidFill>
                <a:srgbClr val="AE8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D5A2-42DC-BF05-365DB3E68D95}"/>
              </c:ext>
            </c:extLst>
          </c:dPt>
          <c:dPt>
            <c:idx val="74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D5A2-42DC-BF05-365DB3E68D95}"/>
              </c:ext>
            </c:extLst>
          </c:dPt>
          <c:dPt>
            <c:idx val="75"/>
            <c:bubble3D val="0"/>
            <c:spPr>
              <a:solidFill>
                <a:srgbClr val="EE5FB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D5A2-42DC-BF05-365DB3E68D95}"/>
              </c:ext>
            </c:extLst>
          </c:dPt>
          <c:dPt>
            <c:idx val="76"/>
            <c:bubble3D val="0"/>
            <c:spPr>
              <a:solidFill>
                <a:srgbClr val="008B9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D5A2-42DC-BF05-365DB3E68D95}"/>
              </c:ext>
            </c:extLst>
          </c:dPt>
          <c:dPt>
            <c:idx val="77"/>
            <c:bubble3D val="0"/>
            <c:spPr>
              <a:solidFill>
                <a:srgbClr val="D7744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D5A2-42DC-BF05-365DB3E68D95}"/>
              </c:ext>
            </c:extLst>
          </c:dPt>
          <c:dPt>
            <c:idx val="78"/>
            <c:bubble3D val="0"/>
            <c:spPr>
              <a:solidFill>
                <a:srgbClr val="BA58C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D5A2-42DC-BF05-365DB3E68D95}"/>
              </c:ext>
            </c:extLst>
          </c:dPt>
          <c:dPt>
            <c:idx val="79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D5A2-42DC-BF05-365DB3E68D95}"/>
              </c:ext>
            </c:extLst>
          </c:dPt>
          <c:dPt>
            <c:idx val="80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D5A2-42DC-BF05-365DB3E68D95}"/>
              </c:ext>
            </c:extLst>
          </c:dPt>
          <c:dPt>
            <c:idx val="81"/>
            <c:bubble3D val="0"/>
            <c:spPr>
              <a:solidFill>
                <a:srgbClr val="C36BD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D5A2-42DC-BF05-365DB3E68D95}"/>
              </c:ext>
            </c:extLst>
          </c:dPt>
          <c:dPt>
            <c:idx val="82"/>
            <c:bubble3D val="0"/>
            <c:spPr>
              <a:solidFill>
                <a:srgbClr val="D062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D5A2-42DC-BF05-365DB3E68D95}"/>
              </c:ext>
            </c:extLst>
          </c:dPt>
          <c:dPt>
            <c:idx val="83"/>
            <c:bubble3D val="0"/>
            <c:spPr>
              <a:solidFill>
                <a:srgbClr val="5781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D5A2-42DC-BF05-365DB3E68D95}"/>
              </c:ext>
            </c:extLst>
          </c:dPt>
          <c:dPt>
            <c:idx val="84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D5A2-42DC-BF05-365DB3E68D95}"/>
              </c:ext>
            </c:extLst>
          </c:dPt>
          <c:cat>
            <c:strRef>
              <c:f>Sheet2!$A$4:$A$89</c:f>
              <c:strCache>
                <c:ptCount val="85"/>
                <c:pt idx="0">
                  <c:v>allen</c:v>
                </c:pt>
                <c:pt idx="1">
                  <c:v>alwanarsh</c:v>
                </c:pt>
                <c:pt idx="2">
                  <c:v>b</c:v>
                </c:pt>
                <c:pt idx="3">
                  <c:v>baker</c:v>
                </c:pt>
                <c:pt idx="4">
                  <c:v>bans</c:v>
                </c:pt>
                <c:pt idx="5">
                  <c:v>barnes</c:v>
                </c:pt>
                <c:pt idx="6">
                  <c:v>bill</c:v>
                </c:pt>
                <c:pt idx="7">
                  <c:v>blink</c:v>
                </c:pt>
                <c:pt idx="8">
                  <c:v>blunt</c:v>
                </c:pt>
                <c:pt idx="9">
                  <c:v>boi</c:v>
                </c:pt>
                <c:pt idx="10">
                  <c:v>bradley</c:v>
                </c:pt>
                <c:pt idx="11">
                  <c:v>braming</c:v>
                </c:pt>
                <c:pt idx="12">
                  <c:v>brathwait</c:v>
                </c:pt>
                <c:pt idx="13">
                  <c:v>brude</c:v>
                </c:pt>
                <c:pt idx="14">
                  <c:v>brunson</c:v>
                </c:pt>
                <c:pt idx="15">
                  <c:v>bucks</c:v>
                </c:pt>
                <c:pt idx="16">
                  <c:v>budd</c:v>
                </c:pt>
                <c:pt idx="17">
                  <c:v>button</c:v>
                </c:pt>
                <c:pt idx="18">
                  <c:v>cambidge</c:v>
                </c:pt>
                <c:pt idx="19">
                  <c:v>castle</c:v>
                </c:pt>
                <c:pt idx="20">
                  <c:v>clipp</c:v>
                </c:pt>
                <c:pt idx="21">
                  <c:v>cohen</c:v>
                </c:pt>
                <c:pt idx="22">
                  <c:v>cooper</c:v>
                </c:pt>
                <c:pt idx="23">
                  <c:v>daily</c:v>
                </c:pt>
                <c:pt idx="24">
                  <c:v>davidson</c:v>
                </c:pt>
                <c:pt idx="25">
                  <c:v>davis</c:v>
                </c:pt>
                <c:pt idx="26">
                  <c:v>dent</c:v>
                </c:pt>
                <c:pt idx="27">
                  <c:v>doe</c:v>
                </c:pt>
                <c:pt idx="28">
                  <c:v>dotson</c:v>
                </c:pt>
                <c:pt idx="29">
                  <c:v>fall</c:v>
                </c:pt>
                <c:pt idx="30">
                  <c:v>flagg</c:v>
                </c:pt>
                <c:pt idx="31">
                  <c:v>folk</c:v>
                </c:pt>
                <c:pt idx="32">
                  <c:v>gash</c:v>
                </c:pt>
                <c:pt idx="33">
                  <c:v>hack</c:v>
                </c:pt>
                <c:pt idx="34">
                  <c:v>harriosn</c:v>
                </c:pt>
                <c:pt idx="35">
                  <c:v>hawk</c:v>
                </c:pt>
                <c:pt idx="36">
                  <c:v>hernandez</c:v>
                </c:pt>
                <c:pt idx="37">
                  <c:v>hsh</c:v>
                </c:pt>
                <c:pt idx="38">
                  <c:v>hunte</c:v>
                </c:pt>
                <c:pt idx="39">
                  <c:v>hunter</c:v>
                </c:pt>
                <c:pt idx="40">
                  <c:v>hurter</c:v>
                </c:pt>
                <c:pt idx="41">
                  <c:v>hustle</c:v>
                </c:pt>
                <c:pt idx="42">
                  <c:v>in</c:v>
                </c:pt>
                <c:pt idx="43">
                  <c:v>jacobs</c:v>
                </c:pt>
                <c:pt idx="44">
                  <c:v>james</c:v>
                </c:pt>
                <c:pt idx="45">
                  <c:v>jon</c:v>
                </c:pt>
                <c:pt idx="46">
                  <c:v>jones</c:v>
                </c:pt>
                <c:pt idx="47">
                  <c:v>jr</c:v>
                </c:pt>
                <c:pt idx="48">
                  <c:v>lawrence</c:v>
                </c:pt>
                <c:pt idx="49">
                  <c:v>lee</c:v>
                </c:pt>
                <c:pt idx="50">
                  <c:v>lewis</c:v>
                </c:pt>
                <c:pt idx="51">
                  <c:v>livon</c:v>
                </c:pt>
                <c:pt idx="52">
                  <c:v>malkalava</c:v>
                </c:pt>
                <c:pt idx="53">
                  <c:v>man</c:v>
                </c:pt>
                <c:pt idx="54">
                  <c:v>marie</c:v>
                </c:pt>
                <c:pt idx="55">
                  <c:v>milado</c:v>
                </c:pt>
                <c:pt idx="56">
                  <c:v>mits</c:v>
                </c:pt>
                <c:pt idx="57">
                  <c:v>mitts</c:v>
                </c:pt>
                <c:pt idx="58">
                  <c:v>motts</c:v>
                </c:pt>
                <c:pt idx="59">
                  <c:v>mouse</c:v>
                </c:pt>
                <c:pt idx="60">
                  <c:v>Nicolas</c:v>
                </c:pt>
                <c:pt idx="61">
                  <c:v>niks</c:v>
                </c:pt>
                <c:pt idx="62">
                  <c:v>nippard</c:v>
                </c:pt>
                <c:pt idx="63">
                  <c:v>nuta</c:v>
                </c:pt>
                <c:pt idx="64">
                  <c:v>parker</c:v>
                </c:pt>
                <c:pt idx="65">
                  <c:v>perry</c:v>
                </c:pt>
                <c:pt idx="66">
                  <c:v>pey</c:v>
                </c:pt>
                <c:pt idx="67">
                  <c:v>queen</c:v>
                </c:pt>
                <c:pt idx="68">
                  <c:v>rage</c:v>
                </c:pt>
                <c:pt idx="69">
                  <c:v>ross</c:v>
                </c:pt>
                <c:pt idx="70">
                  <c:v>sasser</c:v>
                </c:pt>
                <c:pt idx="71">
                  <c:v>sdd</c:v>
                </c:pt>
                <c:pt idx="72">
                  <c:v>smith</c:v>
                </c:pt>
                <c:pt idx="73">
                  <c:v>taylor</c:v>
                </c:pt>
                <c:pt idx="74">
                  <c:v>trump</c:v>
                </c:pt>
                <c:pt idx="75">
                  <c:v>villard</c:v>
                </c:pt>
                <c:pt idx="76">
                  <c:v>walker</c:v>
                </c:pt>
                <c:pt idx="77">
                  <c:v>white</c:v>
                </c:pt>
                <c:pt idx="78">
                  <c:v>wilks</c:v>
                </c:pt>
                <c:pt idx="79">
                  <c:v>will</c:v>
                </c:pt>
                <c:pt idx="80">
                  <c:v>willard</c:v>
                </c:pt>
                <c:pt idx="81">
                  <c:v>wright</c:v>
                </c:pt>
                <c:pt idx="82">
                  <c:v>young</c:v>
                </c:pt>
                <c:pt idx="83">
                  <c:v>yung</c:v>
                </c:pt>
                <c:pt idx="84">
                  <c:v>(blank)</c:v>
                </c:pt>
              </c:strCache>
            </c:strRef>
          </c:cat>
          <c:val>
            <c:numRef>
              <c:f>Sheet2!$B$4:$B$89</c:f>
              <c:numCache>
                <c:formatCode>_([$$-409]* #,##0.00_);_([$$-409]* \(#,##0.00\);_([$$-409]* "-"??_);_(@_)</c:formatCode>
                <c:ptCount val="85"/>
                <c:pt idx="0">
                  <c:v>41</c:v>
                </c:pt>
                <c:pt idx="1">
                  <c:v>30</c:v>
                </c:pt>
                <c:pt idx="2">
                  <c:v>13987</c:v>
                </c:pt>
                <c:pt idx="3">
                  <c:v>68</c:v>
                </c:pt>
                <c:pt idx="4">
                  <c:v>62</c:v>
                </c:pt>
                <c:pt idx="5">
                  <c:v>51</c:v>
                </c:pt>
                <c:pt idx="6">
                  <c:v>50</c:v>
                </c:pt>
                <c:pt idx="7">
                  <c:v>61</c:v>
                </c:pt>
                <c:pt idx="8">
                  <c:v>30</c:v>
                </c:pt>
                <c:pt idx="9">
                  <c:v>32</c:v>
                </c:pt>
                <c:pt idx="10">
                  <c:v>53</c:v>
                </c:pt>
                <c:pt idx="11">
                  <c:v>62</c:v>
                </c:pt>
                <c:pt idx="12">
                  <c:v>42</c:v>
                </c:pt>
                <c:pt idx="13">
                  <c:v>35</c:v>
                </c:pt>
                <c:pt idx="14">
                  <c:v>18</c:v>
                </c:pt>
                <c:pt idx="15">
                  <c:v>30</c:v>
                </c:pt>
                <c:pt idx="16">
                  <c:v>21</c:v>
                </c:pt>
                <c:pt idx="17">
                  <c:v>41</c:v>
                </c:pt>
                <c:pt idx="18">
                  <c:v>40</c:v>
                </c:pt>
                <c:pt idx="19">
                  <c:v>40</c:v>
                </c:pt>
                <c:pt idx="20">
                  <c:v>23</c:v>
                </c:pt>
                <c:pt idx="21">
                  <c:v>400</c:v>
                </c:pt>
                <c:pt idx="22">
                  <c:v>750</c:v>
                </c:pt>
                <c:pt idx="23">
                  <c:v>300</c:v>
                </c:pt>
                <c:pt idx="24">
                  <c:v>150</c:v>
                </c:pt>
                <c:pt idx="25">
                  <c:v>100</c:v>
                </c:pt>
                <c:pt idx="26">
                  <c:v>90</c:v>
                </c:pt>
                <c:pt idx="27">
                  <c:v>120</c:v>
                </c:pt>
                <c:pt idx="28">
                  <c:v>35</c:v>
                </c:pt>
                <c:pt idx="29">
                  <c:v>70</c:v>
                </c:pt>
                <c:pt idx="30">
                  <c:v>25</c:v>
                </c:pt>
                <c:pt idx="31">
                  <c:v>210</c:v>
                </c:pt>
                <c:pt idx="32">
                  <c:v>112</c:v>
                </c:pt>
                <c:pt idx="33">
                  <c:v>500</c:v>
                </c:pt>
                <c:pt idx="34">
                  <c:v>50</c:v>
                </c:pt>
                <c:pt idx="35">
                  <c:v>950</c:v>
                </c:pt>
                <c:pt idx="36">
                  <c:v>56</c:v>
                </c:pt>
                <c:pt idx="37">
                  <c:v>31</c:v>
                </c:pt>
                <c:pt idx="38">
                  <c:v>300</c:v>
                </c:pt>
                <c:pt idx="39">
                  <c:v>50</c:v>
                </c:pt>
                <c:pt idx="40">
                  <c:v>60</c:v>
                </c:pt>
                <c:pt idx="41">
                  <c:v>65</c:v>
                </c:pt>
                <c:pt idx="42">
                  <c:v>45</c:v>
                </c:pt>
                <c:pt idx="43">
                  <c:v>40</c:v>
                </c:pt>
                <c:pt idx="44">
                  <c:v>70</c:v>
                </c:pt>
                <c:pt idx="45">
                  <c:v>110</c:v>
                </c:pt>
                <c:pt idx="46">
                  <c:v>36</c:v>
                </c:pt>
                <c:pt idx="47">
                  <c:v>34</c:v>
                </c:pt>
                <c:pt idx="48">
                  <c:v>70</c:v>
                </c:pt>
                <c:pt idx="49">
                  <c:v>56</c:v>
                </c:pt>
                <c:pt idx="50">
                  <c:v>81</c:v>
                </c:pt>
                <c:pt idx="51">
                  <c:v>65</c:v>
                </c:pt>
                <c:pt idx="52">
                  <c:v>54</c:v>
                </c:pt>
                <c:pt idx="53">
                  <c:v>45</c:v>
                </c:pt>
                <c:pt idx="54">
                  <c:v>74</c:v>
                </c:pt>
                <c:pt idx="55">
                  <c:v>55</c:v>
                </c:pt>
                <c:pt idx="56">
                  <c:v>43</c:v>
                </c:pt>
                <c:pt idx="57">
                  <c:v>72</c:v>
                </c:pt>
                <c:pt idx="58">
                  <c:v>24</c:v>
                </c:pt>
                <c:pt idx="59">
                  <c:v>18</c:v>
                </c:pt>
                <c:pt idx="60">
                  <c:v>16</c:v>
                </c:pt>
                <c:pt idx="61">
                  <c:v>45</c:v>
                </c:pt>
                <c:pt idx="62">
                  <c:v>50</c:v>
                </c:pt>
                <c:pt idx="63">
                  <c:v>78</c:v>
                </c:pt>
                <c:pt idx="64">
                  <c:v>56</c:v>
                </c:pt>
                <c:pt idx="65">
                  <c:v>34</c:v>
                </c:pt>
                <c:pt idx="66">
                  <c:v>54</c:v>
                </c:pt>
                <c:pt idx="67">
                  <c:v>54</c:v>
                </c:pt>
                <c:pt idx="68">
                  <c:v>67</c:v>
                </c:pt>
                <c:pt idx="69">
                  <c:v>67</c:v>
                </c:pt>
                <c:pt idx="70">
                  <c:v>87</c:v>
                </c:pt>
                <c:pt idx="71">
                  <c:v>32</c:v>
                </c:pt>
                <c:pt idx="72">
                  <c:v>40</c:v>
                </c:pt>
                <c:pt idx="73">
                  <c:v>56</c:v>
                </c:pt>
                <c:pt idx="74">
                  <c:v>54</c:v>
                </c:pt>
                <c:pt idx="75">
                  <c:v>31</c:v>
                </c:pt>
                <c:pt idx="76">
                  <c:v>32</c:v>
                </c:pt>
                <c:pt idx="77">
                  <c:v>47</c:v>
                </c:pt>
                <c:pt idx="78">
                  <c:v>50</c:v>
                </c:pt>
                <c:pt idx="79">
                  <c:v>80</c:v>
                </c:pt>
                <c:pt idx="80">
                  <c:v>21</c:v>
                </c:pt>
                <c:pt idx="81">
                  <c:v>43</c:v>
                </c:pt>
                <c:pt idx="82">
                  <c:v>400</c:v>
                </c:pt>
                <c:pt idx="8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2B-4B43-AF5F-E107D52D2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4</xdr:row>
      <xdr:rowOff>0</xdr:rowOff>
    </xdr:from>
    <xdr:to>
      <xdr:col>9</xdr:col>
      <xdr:colOff>466725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3F8308-4A0C-254F-08F3-3148891481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98.140932060189" createdVersion="8" refreshedVersion="8" minRefreshableVersion="3" recordCount="195" xr:uid="{294232A2-54A7-4C9D-AC24-DE06A681CB15}">
  <cacheSource type="worksheet">
    <worksheetSource ref="A1:J196" sheet="Sheet1"/>
  </cacheSource>
  <cacheFields count="10">
    <cacheField name="month  " numFmtId="0">
      <sharedItems containsBlank="1"/>
    </cacheField>
    <cacheField name="Transaction #" numFmtId="0">
      <sharedItems containsString="0" containsBlank="1" containsNumber="1" containsInteger="1" minValue="1000" maxValue="1193"/>
    </cacheField>
    <cacheField name="product code" numFmtId="0">
      <sharedItems containsString="0" containsBlank="1" containsNumber="1" containsInteger="1" minValue="1002" maxValue="9987"/>
    </cacheField>
    <cacheField name="product description " numFmtId="0">
      <sharedItems containsBlank="1"/>
    </cacheField>
    <cacheField name="store cost" numFmtId="0">
      <sharedItems containsString="0" containsBlank="1" containsNumber="1" containsInteger="1" minValue="1" maxValue="897"/>
    </cacheField>
    <cacheField name="sale price " numFmtId="0">
      <sharedItems containsString="0" containsBlank="1" containsNumber="1" containsInteger="1" minValue="3" maxValue="1000"/>
    </cacheField>
    <cacheField name="profit" numFmtId="0">
      <sharedItems containsString="0" containsBlank="1" containsNumber="1" containsInteger="1" minValue="-12" maxValue="213"/>
    </cacheField>
    <cacheField name="commision 10% for items less than 50$, 20% for items more than 50$" numFmtId="0">
      <sharedItems containsString="0" containsBlank="1" containsNumber="1" minValue="-1.2000000000000002" maxValue="42.6"/>
    </cacheField>
    <cacheField name="firstname " numFmtId="0">
      <sharedItems containsBlank="1"/>
    </cacheField>
    <cacheField name="last name" numFmtId="0">
      <sharedItems containsBlank="1" count="85">
        <s v="allen"/>
        <s v="alwanarsh"/>
        <s v="b"/>
        <s v="baker"/>
        <s v="bans"/>
        <s v="barnes"/>
        <s v="bill"/>
        <s v="blink"/>
        <s v="blunt"/>
        <s v="boi"/>
        <s v="bradley"/>
        <s v="braming"/>
        <s v="brathwait"/>
        <s v="brude"/>
        <s v="brunson"/>
        <s v="bucks"/>
        <s v="budd"/>
        <s v="button"/>
        <s v="cambidge"/>
        <s v="castle"/>
        <s v="clipp"/>
        <s v="cohen"/>
        <s v="cooper"/>
        <s v="daily"/>
        <s v="davidson"/>
        <s v="davis"/>
        <s v="dent"/>
        <s v="doe"/>
        <s v="dotson"/>
        <s v="fall"/>
        <s v="flagg"/>
        <s v="folk"/>
        <s v="gash"/>
        <s v="hack"/>
        <s v="harriosn"/>
        <s v="hawk"/>
        <s v="hernandez"/>
        <s v="hsh"/>
        <s v="hunte"/>
        <s v="hunter"/>
        <s v="hurter"/>
        <s v="hustle"/>
        <s v="in"/>
        <s v="jacobs"/>
        <s v="james"/>
        <s v="jon"/>
        <s v="jones"/>
        <s v="jr"/>
        <s v="lawrence"/>
        <s v="lee"/>
        <s v="lewis"/>
        <s v="livon"/>
        <s v="malkalava"/>
        <s v="man"/>
        <s v="marie"/>
        <s v="milado"/>
        <s v="mits"/>
        <s v="mitts"/>
        <s v="motts"/>
        <s v="mouse"/>
        <s v="Nicolas"/>
        <s v="niks"/>
        <s v="nippard"/>
        <s v="nuta"/>
        <s v="parker"/>
        <s v="perry"/>
        <s v="pey"/>
        <s v="queen"/>
        <s v="rage"/>
        <s v="ross"/>
        <s v="sasser"/>
        <s v="sdd"/>
        <s v="smith"/>
        <s v="taylor"/>
        <s v="trump"/>
        <s v="villard"/>
        <s v="walker"/>
        <s v="white"/>
        <s v="wilks"/>
        <s v="will"/>
        <s v="willard"/>
        <s v="wright"/>
        <s v="young"/>
        <s v="yung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">
  <r>
    <s v="jan"/>
    <n v="1000"/>
    <n v="7389"/>
    <s v="shirt"/>
    <n v="12"/>
    <n v="15"/>
    <n v="3"/>
    <n v="0.30000000000000004"/>
    <s v="john"/>
    <x v="0"/>
  </r>
  <r>
    <s v="jan"/>
    <n v="1001"/>
    <n v="1243"/>
    <s v="coat"/>
    <n v="23"/>
    <n v="26"/>
    <n v="3"/>
    <n v="0.30000000000000004"/>
    <s v="chris"/>
    <x v="0"/>
  </r>
  <r>
    <s v="jan"/>
    <n v="1002"/>
    <n v="3453"/>
    <s v="hat"/>
    <n v="21"/>
    <n v="30"/>
    <n v="9"/>
    <n v="0.9"/>
    <s v="jon"/>
    <x v="1"/>
  </r>
  <r>
    <s v="jan"/>
    <n v="1003"/>
    <n v="3454"/>
    <s v="pants"/>
    <n v="12"/>
    <n v="17"/>
    <n v="5"/>
    <n v="0.5"/>
    <s v="jane"/>
    <x v="2"/>
  </r>
  <r>
    <s v="jan"/>
    <n v="1004"/>
    <n v="5643"/>
    <s v="red dye"/>
    <n v="3"/>
    <n v="6"/>
    <n v="3"/>
    <n v="0.30000000000000004"/>
    <s v="janet"/>
    <x v="2"/>
  </r>
  <r>
    <s v="jan"/>
    <n v="1005"/>
    <n v="5675"/>
    <s v="bucket"/>
    <n v="4"/>
    <n v="12"/>
    <n v="8"/>
    <n v="0.8"/>
    <s v="marc"/>
    <x v="2"/>
  </r>
  <r>
    <s v="jan"/>
    <n v="1006"/>
    <n v="5634"/>
    <s v="paint set"/>
    <n v="6"/>
    <n v="14"/>
    <n v="8"/>
    <n v="0.8"/>
    <s v="willard"/>
    <x v="2"/>
  </r>
  <r>
    <s v="jan"/>
    <n v="1007"/>
    <n v="6785"/>
    <s v="nail kit"/>
    <n v="8"/>
    <n v="14"/>
    <n v="6"/>
    <n v="0.60000000000000009"/>
    <s v="bill"/>
    <x v="2"/>
  </r>
  <r>
    <s v="jan"/>
    <n v="1008"/>
    <n v="6567"/>
    <s v="water bottle pack"/>
    <n v="45"/>
    <n v="65"/>
    <n v="20"/>
    <n v="4"/>
    <s v="jake"/>
    <x v="2"/>
  </r>
  <r>
    <s v="jan"/>
    <n v="1009"/>
    <n v="3454"/>
    <s v="wine cooler"/>
    <n v="4"/>
    <n v="15"/>
    <n v="11"/>
    <n v="1.1000000000000001"/>
    <s v="kiki"/>
    <x v="2"/>
  </r>
  <r>
    <s v="jan"/>
    <n v="1010"/>
    <n v="3448"/>
    <s v="ziplock"/>
    <n v="32"/>
    <n v="45"/>
    <n v="13"/>
    <n v="1.3"/>
    <s v="jacob"/>
    <x v="2"/>
  </r>
  <r>
    <s v="jan"/>
    <n v="1011"/>
    <n v="9876"/>
    <s v="condoms "/>
    <n v="23"/>
    <n v="43"/>
    <n v="20"/>
    <n v="2"/>
    <s v="ronlald"/>
    <x v="2"/>
  </r>
  <r>
    <s v="jan"/>
    <n v="1012"/>
    <n v="6755"/>
    <s v="table"/>
    <n v="221"/>
    <n v="300"/>
    <n v="79"/>
    <n v="15.8"/>
    <s v="beatrice"/>
    <x v="2"/>
  </r>
  <r>
    <s v="jan"/>
    <n v="1013"/>
    <n v="6567"/>
    <s v="stool"/>
    <n v="34"/>
    <n v="56"/>
    <n v="22"/>
    <n v="4.4000000000000004"/>
    <s v="isiah"/>
    <x v="2"/>
  </r>
  <r>
    <s v="jan"/>
    <n v="1014"/>
    <n v="6788"/>
    <s v="paintbrush"/>
    <n v="34"/>
    <n v="65"/>
    <n v="31"/>
    <n v="6.2"/>
    <s v="jacobs"/>
    <x v="2"/>
  </r>
  <r>
    <s v="jan"/>
    <n v="1015"/>
    <n v="7789"/>
    <s v="airsoft gun"/>
    <n v="65"/>
    <n v="79"/>
    <n v="14"/>
    <n v="2.8000000000000003"/>
    <s v="david"/>
    <x v="2"/>
  </r>
  <r>
    <s v="feb"/>
    <n v="1016"/>
    <n v="6767"/>
    <s v="tennis ball"/>
    <n v="23"/>
    <n v="36"/>
    <n v="13"/>
    <n v="1.3"/>
    <s v="paul"/>
    <x v="2"/>
  </r>
  <r>
    <s v="feb"/>
    <n v="1017"/>
    <n v="6765"/>
    <s v="basketball"/>
    <n v="45"/>
    <n v="62"/>
    <n v="17"/>
    <n v="3.4000000000000004"/>
    <s v="muhammed"/>
    <x v="2"/>
  </r>
  <r>
    <s v="feb"/>
    <n v="1018"/>
    <n v="6755"/>
    <s v="bosxing gloves "/>
    <n v="78"/>
    <n v="100"/>
    <n v="22"/>
    <n v="4.4000000000000004"/>
    <s v="john"/>
    <x v="2"/>
  </r>
  <r>
    <s v="feb"/>
    <n v="1019"/>
    <n v="6544"/>
    <s v="baseball "/>
    <n v="22"/>
    <n v="30"/>
    <n v="8"/>
    <n v="0.8"/>
    <s v="sarah"/>
    <x v="2"/>
  </r>
  <r>
    <s v="feb"/>
    <n v="1020"/>
    <n v="6789"/>
    <s v="bat"/>
    <n v="11"/>
    <n v="23"/>
    <n v="12"/>
    <n v="1.2000000000000002"/>
    <s v="sarai"/>
    <x v="2"/>
  </r>
  <r>
    <s v="feb"/>
    <n v="1021"/>
    <n v="4453"/>
    <s v="wine opener "/>
    <n v="23"/>
    <n v="45"/>
    <n v="22"/>
    <n v="2.2000000000000002"/>
    <s v="mariah"/>
    <x v="2"/>
  </r>
  <r>
    <s v="feb"/>
    <n v="1022"/>
    <n v="4322"/>
    <s v="hair spray"/>
    <n v="24"/>
    <n v="41"/>
    <n v="17"/>
    <n v="1.7000000000000002"/>
    <s v="lucas"/>
    <x v="2"/>
  </r>
  <r>
    <s v="feb"/>
    <n v="1023"/>
    <n v="1243"/>
    <s v="book"/>
    <n v="54"/>
    <n v="63"/>
    <n v="9"/>
    <n v="1.8"/>
    <s v="pascal"/>
    <x v="2"/>
  </r>
  <r>
    <s v="feb"/>
    <n v="1024"/>
    <n v="1564"/>
    <s v="candle"/>
    <n v="43"/>
    <n v="54"/>
    <n v="11"/>
    <n v="2.2000000000000002"/>
    <s v="chase"/>
    <x v="2"/>
  </r>
  <r>
    <s v="feb"/>
    <n v="1025"/>
    <n v="1267"/>
    <s v="8 in hose "/>
    <n v="12"/>
    <n v="24"/>
    <n v="12"/>
    <n v="1.2000000000000002"/>
    <s v="william"/>
    <x v="2"/>
  </r>
  <r>
    <s v="feb"/>
    <n v="1026"/>
    <n v="3444"/>
    <s v="basketball hoop"/>
    <n v="4"/>
    <n v="12"/>
    <n v="8"/>
    <n v="0.8"/>
    <s v="nicolas"/>
    <x v="2"/>
  </r>
  <r>
    <s v="feb"/>
    <n v="1027"/>
    <n v="4556"/>
    <s v="slide "/>
    <n v="58"/>
    <n v="78"/>
    <n v="20"/>
    <n v="4"/>
    <s v="hunter"/>
    <x v="2"/>
  </r>
  <r>
    <s v="feb"/>
    <n v="1028"/>
    <n v="3455"/>
    <s v="dog cage"/>
    <n v="90"/>
    <n v="122"/>
    <n v="32"/>
    <n v="6.4"/>
    <s v="gary"/>
    <x v="2"/>
  </r>
  <r>
    <s v="feb"/>
    <n v="1029"/>
    <n v="2234"/>
    <s v="leash "/>
    <n v="100"/>
    <n v="143"/>
    <n v="43"/>
    <n v="8.6"/>
    <s v="barnes"/>
    <x v="2"/>
  </r>
  <r>
    <s v="feb"/>
    <n v="1030"/>
    <n v="6678"/>
    <s v="ash trey "/>
    <n v="12"/>
    <n v="18"/>
    <n v="6"/>
    <n v="0.60000000000000009"/>
    <s v="gilbert"/>
    <x v="2"/>
  </r>
  <r>
    <s v="feb"/>
    <n v="1031"/>
    <n v="6666"/>
    <s v="weed grinder"/>
    <n v="45"/>
    <n v="56"/>
    <n v="11"/>
    <n v="2.2000000000000002"/>
    <s v="marc"/>
    <x v="2"/>
  </r>
  <r>
    <s v="feb"/>
    <n v="1032"/>
    <n v="7777"/>
    <s v="beanie "/>
    <n v="1"/>
    <n v="5"/>
    <n v="4"/>
    <n v="0.4"/>
    <s v="jacob"/>
    <x v="2"/>
  </r>
  <r>
    <s v="mar"/>
    <n v="1033"/>
    <n v="8888"/>
    <s v="galaxy wolf hoodie"/>
    <n v="3"/>
    <n v="9"/>
    <n v="6"/>
    <n v="0.60000000000000009"/>
    <s v="caleb"/>
    <x v="2"/>
  </r>
  <r>
    <s v="mar"/>
    <n v="1034"/>
    <n v="6653"/>
    <s v="painting"/>
    <n v="34"/>
    <n v="50"/>
    <n v="16"/>
    <n v="1.6"/>
    <s v="stephon"/>
    <x v="2"/>
  </r>
  <r>
    <s v="mar"/>
    <n v="1035"/>
    <n v="4656"/>
    <s v="canvas "/>
    <n v="3"/>
    <n v="5"/>
    <n v="2"/>
    <n v="0.2"/>
    <s v="harrioson"/>
    <x v="2"/>
  </r>
  <r>
    <s v="mar"/>
    <n v="1036"/>
    <n v="5654"/>
    <s v="spray can"/>
    <n v="4"/>
    <n v="15"/>
    <n v="11"/>
    <n v="1.1000000000000001"/>
    <s v="daniel"/>
    <x v="2"/>
  </r>
  <r>
    <s v="mar"/>
    <n v="1037"/>
    <n v="4556"/>
    <s v="lotion "/>
    <n v="6"/>
    <n v="19"/>
    <n v="13"/>
    <n v="1.3"/>
    <s v="jay"/>
    <x v="2"/>
  </r>
  <r>
    <s v="mar"/>
    <n v="1038"/>
    <n v="5655"/>
    <s v="soap"/>
    <n v="7"/>
    <n v="13"/>
    <n v="6"/>
    <n v="0.60000000000000009"/>
    <s v="travis"/>
    <x v="2"/>
  </r>
  <r>
    <s v="mar"/>
    <n v="1039"/>
    <n v="4566"/>
    <s v="tampon"/>
    <n v="5"/>
    <n v="14"/>
    <n v="9"/>
    <n v="0.9"/>
    <s v="trevor"/>
    <x v="2"/>
  </r>
  <r>
    <s v="mar"/>
    <n v="1040"/>
    <n v="4532"/>
    <s v="portable charger"/>
    <n v="4"/>
    <n v="13"/>
    <n v="9"/>
    <n v="0.9"/>
    <s v="taylor"/>
    <x v="2"/>
  </r>
  <r>
    <s v="mar"/>
    <n v="1041"/>
    <n v="3456"/>
    <s v="toy"/>
    <n v="5"/>
    <n v="12"/>
    <n v="7"/>
    <n v="0.70000000000000007"/>
    <s v="alex"/>
    <x v="2"/>
  </r>
  <r>
    <s v="mar"/>
    <n v="1042"/>
    <n v="3456"/>
    <s v="glasses "/>
    <n v="4"/>
    <n v="11"/>
    <n v="7"/>
    <n v="0.70000000000000007"/>
    <s v="alexa"/>
    <x v="2"/>
  </r>
  <r>
    <s v="mar"/>
    <n v="1043"/>
    <n v="4566"/>
    <s v="chair"/>
    <n v="33"/>
    <n v="56"/>
    <n v="23"/>
    <n v="4.6000000000000005"/>
    <s v="doug  c"/>
    <x v="2"/>
  </r>
  <r>
    <s v="mar"/>
    <n v="1044"/>
    <n v="5454"/>
    <s v="hammer"/>
    <n v="44"/>
    <n v="56"/>
    <n v="12"/>
    <n v="2.4000000000000004"/>
    <s v="etj"/>
    <x v="2"/>
  </r>
  <r>
    <s v="mar"/>
    <n v="1045"/>
    <n v="4566"/>
    <s v="toolkit "/>
    <n v="67"/>
    <n v="81"/>
    <n v="14"/>
    <n v="2.8000000000000003"/>
    <s v="mick"/>
    <x v="2"/>
  </r>
  <r>
    <s v="mar"/>
    <n v="1046"/>
    <n v="4554"/>
    <s v="tires "/>
    <n v="65"/>
    <n v="79"/>
    <n v="14"/>
    <n v="2.8000000000000003"/>
    <s v="mick"/>
    <x v="2"/>
  </r>
  <r>
    <s v="mar"/>
    <n v="1047"/>
    <n v="3456"/>
    <s v="air conditon"/>
    <n v="45"/>
    <n v="52"/>
    <n v="7"/>
    <n v="1.4000000000000001"/>
    <s v="lock"/>
    <x v="2"/>
  </r>
  <r>
    <s v="mar"/>
    <n v="1048"/>
    <n v="4544"/>
    <s v="kitchen set"/>
    <n v="655"/>
    <n v="800"/>
    <n v="145"/>
    <n v="29"/>
    <s v="deez"/>
    <x v="2"/>
  </r>
  <r>
    <s v="mar"/>
    <n v="1049"/>
    <n v="4532"/>
    <s v="laptop"/>
    <n v="99"/>
    <n v="160"/>
    <n v="61"/>
    <n v="12.200000000000001"/>
    <s v="Marcus"/>
    <x v="2"/>
  </r>
  <r>
    <s v="mar"/>
    <n v="1050"/>
    <n v="3456"/>
    <s v="wireless mouse"/>
    <n v="97"/>
    <n v="180"/>
    <n v="83"/>
    <n v="16.600000000000001"/>
    <s v="jalen.q"/>
    <x v="2"/>
  </r>
  <r>
    <s v="apr"/>
    <n v="1051"/>
    <n v="5775"/>
    <s v="wired mouse "/>
    <n v="86"/>
    <n v="114"/>
    <n v="28"/>
    <n v="5.6000000000000005"/>
    <s v="jalen"/>
    <x v="2"/>
  </r>
  <r>
    <s v="apr"/>
    <n v="1052"/>
    <n v="6567"/>
    <s v="xbox "/>
    <n v="89"/>
    <n v="124"/>
    <n v="35"/>
    <n v="7"/>
    <s v="derick"/>
    <x v="2"/>
  </r>
  <r>
    <s v="apr"/>
    <n v="1053"/>
    <n v="8765"/>
    <s v="ps5 controller"/>
    <n v="88"/>
    <n v="110"/>
    <n v="22"/>
    <n v="4.4000000000000004"/>
    <s v="christian"/>
    <x v="2"/>
  </r>
  <r>
    <s v="apr"/>
    <n v="1054"/>
    <n v="6778"/>
    <s v="blue light glasses "/>
    <n v="55"/>
    <n v="100"/>
    <n v="45"/>
    <n v="9"/>
    <s v="bloody"/>
    <x v="2"/>
  </r>
  <r>
    <s v="apr"/>
    <n v="1055"/>
    <n v="6765"/>
    <s v="window curtains "/>
    <n v="778"/>
    <n v="950"/>
    <n v="172"/>
    <n v="34.4"/>
    <s v="marie"/>
    <x v="2"/>
  </r>
  <r>
    <s v="apr"/>
    <n v="1056"/>
    <n v="5665"/>
    <s v="oculus "/>
    <n v="88"/>
    <n v="121"/>
    <n v="33"/>
    <n v="6.6000000000000005"/>
    <s v="kevin"/>
    <x v="2"/>
  </r>
  <r>
    <s v="apr"/>
    <n v="1057"/>
    <n v="4445"/>
    <s v="stanley cup"/>
    <n v="99"/>
    <n v="132"/>
    <n v="33"/>
    <n v="6.6000000000000005"/>
    <s v="john"/>
    <x v="2"/>
  </r>
  <r>
    <s v="apr"/>
    <n v="1058"/>
    <n v="3445"/>
    <s v="oakley glasses "/>
    <n v="345"/>
    <n v="500"/>
    <n v="155"/>
    <n v="31"/>
    <s v="montrell"/>
    <x v="2"/>
  </r>
  <r>
    <s v="apr"/>
    <n v="1059"/>
    <n v="4553"/>
    <s v="keyboard "/>
    <n v="654"/>
    <n v="700"/>
    <n v="46"/>
    <n v="9.2000000000000011"/>
    <s v="john"/>
    <x v="2"/>
  </r>
  <r>
    <s v="apr"/>
    <n v="1060"/>
    <n v="2231"/>
    <s v="piano"/>
    <n v="687"/>
    <n v="900"/>
    <n v="213"/>
    <n v="42.6"/>
    <s v="deja"/>
    <x v="2"/>
  </r>
  <r>
    <s v="apr"/>
    <n v="1061"/>
    <n v="2212"/>
    <s v="record player"/>
    <n v="897"/>
    <n v="1000"/>
    <n v="103"/>
    <n v="20.6"/>
    <s v="idris"/>
    <x v="2"/>
  </r>
  <r>
    <s v="apr"/>
    <n v="1062"/>
    <n v="1342"/>
    <s v="movie dvd"/>
    <n v="765"/>
    <n v="850"/>
    <n v="85"/>
    <n v="17"/>
    <s v="jesus"/>
    <x v="2"/>
  </r>
  <r>
    <s v="apr"/>
    <n v="1063"/>
    <n v="3456"/>
    <s v="projecter"/>
    <n v="654"/>
    <n v="790"/>
    <n v="136"/>
    <n v="27.200000000000003"/>
    <s v="wilner"/>
    <x v="2"/>
  </r>
  <r>
    <s v="apr"/>
    <n v="1064"/>
    <n v="4566"/>
    <s v="lawn mower "/>
    <n v="567"/>
    <n v="625"/>
    <n v="58"/>
    <n v="11.600000000000001"/>
    <s v="wilson"/>
    <x v="2"/>
  </r>
  <r>
    <s v="apr"/>
    <n v="1065"/>
    <n v="4554"/>
    <s v="vaccum "/>
    <n v="667"/>
    <n v="725"/>
    <n v="58"/>
    <n v="11.600000000000001"/>
    <s v="tobias"/>
    <x v="2"/>
  </r>
  <r>
    <s v="apr"/>
    <n v="1066"/>
    <n v="5677"/>
    <s v="spray tan"/>
    <n v="21"/>
    <n v="30"/>
    <n v="9"/>
    <n v="0.9"/>
    <s v="tomhas"/>
    <x v="2"/>
  </r>
  <r>
    <s v="apr"/>
    <n v="1067"/>
    <n v="7897"/>
    <s v="sunsreen"/>
    <n v="23"/>
    <n v="35"/>
    <n v="12"/>
    <n v="1.2000000000000002"/>
    <s v="raja"/>
    <x v="2"/>
  </r>
  <r>
    <s v="may"/>
    <n v="1068"/>
    <n v="9876"/>
    <s v="stress ball"/>
    <n v="2"/>
    <n v="6"/>
    <n v="4"/>
    <n v="0.4"/>
    <s v="treybon"/>
    <x v="2"/>
  </r>
  <r>
    <s v="may"/>
    <n v="1069"/>
    <n v="9809"/>
    <s v="foam roller"/>
    <n v="14"/>
    <n v="23"/>
    <n v="9"/>
    <n v="0.9"/>
    <s v="johnson"/>
    <x v="2"/>
  </r>
  <r>
    <s v="may"/>
    <n v="1070"/>
    <n v="9807"/>
    <s v="massage gun"/>
    <n v="56"/>
    <n v="70"/>
    <n v="14"/>
    <n v="2.8000000000000003"/>
    <s v="jaden"/>
    <x v="2"/>
  </r>
  <r>
    <s v="may"/>
    <n v="1071"/>
    <n v="8098"/>
    <s v="knee brace"/>
    <n v="76"/>
    <n v="100"/>
    <n v="24"/>
    <n v="4.8000000000000007"/>
    <s v="marquis"/>
    <x v="2"/>
  </r>
  <r>
    <s v="may"/>
    <n v="1072"/>
    <n v="7890"/>
    <s v="bike "/>
    <n v="54"/>
    <n v="81"/>
    <n v="27"/>
    <n v="5.4"/>
    <s v="fred"/>
    <x v="2"/>
  </r>
  <r>
    <s v="may"/>
    <n v="1073"/>
    <n v="8765"/>
    <s v="skateboard"/>
    <n v="32"/>
    <n v="45"/>
    <n v="13"/>
    <n v="1.3"/>
    <s v="peyton"/>
    <x v="2"/>
  </r>
  <r>
    <s v="may"/>
    <n v="1074"/>
    <n v="7898"/>
    <s v="kite "/>
    <n v="23"/>
    <n v="34"/>
    <n v="11"/>
    <n v="1.1000000000000001"/>
    <s v="jordan"/>
    <x v="2"/>
  </r>
  <r>
    <s v="may"/>
    <n v="1075"/>
    <n v="8766"/>
    <s v="lighter "/>
    <n v="3"/>
    <n v="10"/>
    <n v="7"/>
    <n v="0.70000000000000007"/>
    <s v="donavan"/>
    <x v="2"/>
  </r>
  <r>
    <s v="may"/>
    <n v="1076"/>
    <n v="8643"/>
    <s v="tent set"/>
    <n v="2"/>
    <n v="21"/>
    <n v="19"/>
    <n v="1.9000000000000001"/>
    <s v="david"/>
    <x v="2"/>
  </r>
  <r>
    <s v="may"/>
    <n v="1077"/>
    <n v="5367"/>
    <s v="bookbag"/>
    <n v="45"/>
    <n v="67"/>
    <n v="22"/>
    <n v="4.4000000000000004"/>
    <s v="benjamin"/>
    <x v="2"/>
  </r>
  <r>
    <s v="may"/>
    <n v="1078"/>
    <n v="5864"/>
    <s v="grill"/>
    <n v="12"/>
    <n v="54"/>
    <n v="42"/>
    <n v="8.4"/>
    <s v="tim"/>
    <x v="2"/>
  </r>
  <r>
    <s v="may"/>
    <n v="1079"/>
    <n v="5679"/>
    <s v="air fryer "/>
    <n v="44"/>
    <n v="32"/>
    <n v="-12"/>
    <n v="-1.2000000000000002"/>
    <s v="tom"/>
    <x v="2"/>
  </r>
  <r>
    <s v="may"/>
    <n v="1080"/>
    <n v="6789"/>
    <s v="fridge "/>
    <n v="432"/>
    <n v="500"/>
    <n v="68"/>
    <n v="13.600000000000001"/>
    <s v="lebron"/>
    <x v="2"/>
  </r>
  <r>
    <s v="may"/>
    <n v="1081"/>
    <n v="6777"/>
    <s v="pen set "/>
    <n v="11"/>
    <n v="20"/>
    <n v="9"/>
    <n v="0.9"/>
    <s v="donald"/>
    <x v="2"/>
  </r>
  <r>
    <s v="may"/>
    <n v="1082"/>
    <n v="6767"/>
    <s v="noteook"/>
    <n v="4"/>
    <n v="14"/>
    <n v="10"/>
    <n v="1"/>
    <s v="maddison"/>
    <x v="2"/>
  </r>
  <r>
    <s v="may"/>
    <n v="1083"/>
    <n v="7676"/>
    <s v="folder"/>
    <n v="3"/>
    <n v="23"/>
    <n v="20"/>
    <n v="2"/>
    <s v="achie"/>
    <x v="2"/>
  </r>
  <r>
    <s v="may"/>
    <n v="1084"/>
    <n v="6868"/>
    <s v="binder"/>
    <n v="4"/>
    <n v="21"/>
    <n v="17"/>
    <n v="1.7000000000000002"/>
    <s v="kannon"/>
    <x v="2"/>
  </r>
  <r>
    <s v="may"/>
    <n v="1085"/>
    <n v="8686"/>
    <s v="pigment set"/>
    <n v="54"/>
    <n v="60"/>
    <n v="6"/>
    <n v="1.2000000000000002"/>
    <s v="sue"/>
    <x v="2"/>
  </r>
  <r>
    <s v="jun"/>
    <n v="1086"/>
    <n v="8989"/>
    <s v="sandals "/>
    <n v="24"/>
    <n v="45"/>
    <n v="21"/>
    <n v="2.1"/>
    <s v="Ethan"/>
    <x v="2"/>
  </r>
  <r>
    <s v="jun"/>
    <n v="1087"/>
    <n v="9898"/>
    <s v="slides "/>
    <n v="25"/>
    <n v="35"/>
    <n v="10"/>
    <n v="1"/>
    <s v="tenisha"/>
    <x v="2"/>
  </r>
  <r>
    <s v="jun"/>
    <n v="1088"/>
    <n v="6345"/>
    <s v="hiking shoes"/>
    <n v="19"/>
    <n v="25"/>
    <n v="6"/>
    <n v="0.60000000000000009"/>
    <s v="jose"/>
    <x v="2"/>
  </r>
  <r>
    <s v="jun"/>
    <n v="1089"/>
    <n v="6556"/>
    <s v="roller blades"/>
    <n v="18"/>
    <n v="35"/>
    <n v="17"/>
    <n v="1.7000000000000002"/>
    <s v="key b "/>
    <x v="2"/>
  </r>
  <r>
    <s v="jun"/>
    <n v="1090"/>
    <n v="6788"/>
    <s v="derma roller"/>
    <n v="48"/>
    <n v="60"/>
    <n v="12"/>
    <n v="2.4000000000000004"/>
    <s v="key"/>
    <x v="2"/>
  </r>
  <r>
    <s v="jun"/>
    <n v="1091"/>
    <n v="8864"/>
    <s v="minoxidil"/>
    <n v="12"/>
    <n v="31"/>
    <n v="19"/>
    <n v="1.9000000000000001"/>
    <s v="key"/>
    <x v="2"/>
  </r>
  <r>
    <s v="jun"/>
    <n v="1092"/>
    <n v="6654"/>
    <s v="hair oil"/>
    <n v="23"/>
    <n v="43"/>
    <n v="20"/>
    <n v="2"/>
    <s v="key"/>
    <x v="2"/>
  </r>
  <r>
    <s v="jun"/>
    <n v="1093"/>
    <n v="5543"/>
    <s v="fridge magnet"/>
    <n v="12"/>
    <n v="54"/>
    <n v="42"/>
    <n v="8.4"/>
    <s v="key"/>
    <x v="2"/>
  </r>
  <r>
    <s v="jun"/>
    <n v="1094"/>
    <n v="5667"/>
    <s v="flour"/>
    <n v="32"/>
    <n v="50"/>
    <n v="18"/>
    <n v="1.8"/>
    <s v="key"/>
    <x v="2"/>
  </r>
  <r>
    <s v="jun"/>
    <n v="1095"/>
    <n v="6788"/>
    <s v="printer"/>
    <n v="98"/>
    <n v="112"/>
    <n v="14"/>
    <n v="2.8000000000000003"/>
    <s v="key"/>
    <x v="2"/>
  </r>
  <r>
    <s v="jun"/>
    <n v="1096"/>
    <n v="3456"/>
    <s v="moniter"/>
    <n v="800"/>
    <n v="900"/>
    <n v="100"/>
    <n v="20"/>
    <s v="key"/>
    <x v="2"/>
  </r>
  <r>
    <s v="jun"/>
    <n v="1097"/>
    <n v="5433"/>
    <s v="american flag"/>
    <n v="12"/>
    <n v="24"/>
    <n v="12"/>
    <n v="1.2000000000000002"/>
    <s v="key"/>
    <x v="2"/>
  </r>
  <r>
    <s v="jun"/>
    <n v="1098"/>
    <n v="4112"/>
    <s v="tea maker"/>
    <n v="55"/>
    <n v="70"/>
    <n v="15"/>
    <n v="3"/>
    <s v="key"/>
    <x v="2"/>
  </r>
  <r>
    <s v="jun"/>
    <n v="1099"/>
    <n v="2543"/>
    <s v="air freshner"/>
    <n v="43"/>
    <n v="65"/>
    <n v="22"/>
    <n v="4.4000000000000004"/>
    <s v="key"/>
    <x v="2"/>
  </r>
  <r>
    <s v="jun"/>
    <n v="1100"/>
    <n v="4577"/>
    <s v="incents "/>
    <n v="32"/>
    <n v="35"/>
    <n v="3"/>
    <n v="0.30000000000000004"/>
    <s v="key"/>
    <x v="2"/>
  </r>
  <r>
    <s v="jun"/>
    <n v="1101"/>
    <n v="1234"/>
    <s v="toothbrush"/>
    <n v="1"/>
    <n v="3"/>
    <n v="2"/>
    <n v="0.2"/>
    <s v="key"/>
    <x v="2"/>
  </r>
  <r>
    <s v="jun"/>
    <n v="1102"/>
    <n v="1664"/>
    <s v="mouthwash"/>
    <n v="5"/>
    <n v="13"/>
    <n v="8"/>
    <n v="0.8"/>
    <s v="key"/>
    <x v="2"/>
  </r>
  <r>
    <s v="jun"/>
    <n v="1103"/>
    <n v="4554"/>
    <s v="toothpaste"/>
    <n v="6"/>
    <n v="12"/>
    <n v="6"/>
    <n v="0.60000000000000009"/>
    <s v="key"/>
    <x v="2"/>
  </r>
  <r>
    <s v="jul"/>
    <n v="1104"/>
    <n v="4554"/>
    <s v="hair gel"/>
    <n v="17"/>
    <n v="21"/>
    <n v="4"/>
    <n v="0.4"/>
    <s v="key"/>
    <x v="2"/>
  </r>
  <r>
    <s v="jul"/>
    <n v="1105"/>
    <n v="3464"/>
    <s v="candle set"/>
    <n v="42"/>
    <n v="54"/>
    <n v="12"/>
    <n v="2.4000000000000004"/>
    <s v="key"/>
    <x v="2"/>
  </r>
  <r>
    <s v="jul"/>
    <n v="1106"/>
    <n v="4553"/>
    <s v="cologne "/>
    <n v="12"/>
    <n v="16"/>
    <n v="4"/>
    <n v="0.4"/>
    <s v="key"/>
    <x v="2"/>
  </r>
  <r>
    <s v="jul"/>
    <n v="1107"/>
    <n v="1002"/>
    <s v="perfume"/>
    <n v="23"/>
    <n v="29"/>
    <n v="6"/>
    <n v="0.60000000000000009"/>
    <s v="key"/>
    <x v="2"/>
  </r>
  <r>
    <s v="jul"/>
    <n v="1108"/>
    <n v="1003"/>
    <s v="pimple patches"/>
    <n v="44"/>
    <n v="68"/>
    <n v="24"/>
    <n v="4.8000000000000007"/>
    <s v="key"/>
    <x v="3"/>
  </r>
  <r>
    <s v="jul"/>
    <n v="1109"/>
    <n v="2001"/>
    <s v="moisterizer "/>
    <n v="54"/>
    <n v="62"/>
    <n v="8"/>
    <n v="1.6"/>
    <s v="key"/>
    <x v="4"/>
  </r>
  <r>
    <s v="jul"/>
    <n v="1110"/>
    <n v="2344"/>
    <s v="stainless steel pan"/>
    <n v="39"/>
    <n v="51"/>
    <n v="12"/>
    <n v="2.4000000000000004"/>
    <s v="key"/>
    <x v="5"/>
  </r>
  <r>
    <s v="jul"/>
    <n v="1111"/>
    <n v="2334"/>
    <s v="mop"/>
    <n v="34"/>
    <n v="50"/>
    <n v="16"/>
    <n v="1.6"/>
    <s v="key"/>
    <x v="6"/>
  </r>
  <r>
    <s v="jul"/>
    <n v="1112"/>
    <n v="2627"/>
    <s v="broom"/>
    <n v="57"/>
    <n v="61"/>
    <n v="4"/>
    <n v="0.8"/>
    <s v="key"/>
    <x v="7"/>
  </r>
  <r>
    <s v="jul"/>
    <n v="1113"/>
    <n v="8232"/>
    <s v="football"/>
    <n v="21"/>
    <n v="30"/>
    <n v="9"/>
    <n v="0.9"/>
    <s v="key"/>
    <x v="8"/>
  </r>
  <r>
    <s v="jul"/>
    <n v="1114"/>
    <n v="7382"/>
    <s v="tennis racket "/>
    <n v="23"/>
    <n v="32"/>
    <n v="9"/>
    <n v="0.9"/>
    <s v="key"/>
    <x v="9"/>
  </r>
  <r>
    <s v="jul"/>
    <n v="1115"/>
    <n v="2832"/>
    <s v="heavy bag"/>
    <n v="46"/>
    <n v="53"/>
    <n v="7"/>
    <n v="1.4000000000000001"/>
    <s v="key"/>
    <x v="10"/>
  </r>
  <r>
    <s v="jul"/>
    <n v="1116"/>
    <n v="2732"/>
    <s v="coal"/>
    <n v="54"/>
    <n v="62"/>
    <n v="8"/>
    <n v="1.6"/>
    <s v="key"/>
    <x v="11"/>
  </r>
  <r>
    <s v="jul"/>
    <n v="1117"/>
    <n v="7372"/>
    <s v="stroller"/>
    <n v="32"/>
    <n v="42"/>
    <n v="10"/>
    <n v="1"/>
    <s v="key"/>
    <x v="12"/>
  </r>
  <r>
    <s v="jul"/>
    <n v="1118"/>
    <n v="2838"/>
    <s v="baby powder"/>
    <n v="23"/>
    <n v="35"/>
    <n v="12"/>
    <n v="1.2000000000000002"/>
    <s v="key"/>
    <x v="13"/>
  </r>
  <r>
    <s v="jul"/>
    <n v="1119"/>
    <n v="1812"/>
    <s v="baby oil"/>
    <n v="5"/>
    <n v="18"/>
    <n v="13"/>
    <n v="1.3"/>
    <s v="key"/>
    <x v="14"/>
  </r>
  <r>
    <s v="jul"/>
    <n v="1120"/>
    <n v="2098"/>
    <s v="babywipes "/>
    <n v="23"/>
    <n v="30"/>
    <n v="7"/>
    <n v="0.70000000000000007"/>
    <s v="key"/>
    <x v="15"/>
  </r>
  <r>
    <s v="jul"/>
    <n v="1121"/>
    <n v="8979"/>
    <s v="baby food"/>
    <n v="12"/>
    <n v="21"/>
    <n v="9"/>
    <n v="0.9"/>
    <s v="key"/>
    <x v="16"/>
  </r>
  <r>
    <s v="aug"/>
    <n v="1122"/>
    <n v="2838"/>
    <s v="toilet paper"/>
    <n v="33"/>
    <n v="41"/>
    <n v="8"/>
    <n v="0.8"/>
    <s v="key"/>
    <x v="17"/>
  </r>
  <r>
    <s v="aug"/>
    <n v="1123"/>
    <n v="4554"/>
    <s v="napkins"/>
    <n v="23"/>
    <n v="40"/>
    <n v="17"/>
    <n v="1.7000000000000002"/>
    <s v="key"/>
    <x v="18"/>
  </r>
  <r>
    <s v="aug"/>
    <n v="1124"/>
    <n v="4474"/>
    <s v="paper towels"/>
    <n v="23"/>
    <n v="40"/>
    <n v="17"/>
    <n v="1.7000000000000002"/>
    <s v="key"/>
    <x v="19"/>
  </r>
  <r>
    <s v="aug"/>
    <n v="1125"/>
    <n v="4673"/>
    <s v="mat"/>
    <n v="12"/>
    <n v="23"/>
    <n v="11"/>
    <n v="1.1000000000000001"/>
    <s v="key"/>
    <x v="20"/>
  </r>
  <r>
    <s v="aug"/>
    <n v="1126"/>
    <n v="7338"/>
    <s v="ring dorbell "/>
    <n v="355"/>
    <n v="400"/>
    <n v="45"/>
    <n v="9"/>
    <s v="key"/>
    <x v="21"/>
  </r>
  <r>
    <s v="aug"/>
    <n v="1127"/>
    <n v="3784"/>
    <s v="camera "/>
    <n v="665"/>
    <n v="750"/>
    <n v="85"/>
    <n v="17"/>
    <s v="key"/>
    <x v="22"/>
  </r>
  <r>
    <s v="aug"/>
    <n v="1128"/>
    <n v="2334"/>
    <s v="airpods"/>
    <n v="100"/>
    <n v="300"/>
    <n v="200"/>
    <n v="40"/>
    <s v="key"/>
    <x v="23"/>
  </r>
  <r>
    <s v="aug"/>
    <n v="1129"/>
    <n v="3434"/>
    <s v="earphones"/>
    <n v="79"/>
    <n v="150"/>
    <n v="71"/>
    <n v="14.200000000000001"/>
    <s v="key"/>
    <x v="24"/>
  </r>
  <r>
    <s v="aug"/>
    <n v="1130"/>
    <n v="3455"/>
    <s v="headphones "/>
    <n v="44"/>
    <n v="100"/>
    <n v="56"/>
    <n v="11.200000000000001"/>
    <s v="key"/>
    <x v="25"/>
  </r>
  <r>
    <s v="aug"/>
    <n v="1131"/>
    <n v="7767"/>
    <s v="drumpad"/>
    <n v="43"/>
    <n v="90"/>
    <n v="47"/>
    <n v="9.4"/>
    <s v="key"/>
    <x v="26"/>
  </r>
  <r>
    <s v="aug"/>
    <n v="1132"/>
    <n v="7898"/>
    <s v="jeans"/>
    <n v="34"/>
    <n v="50"/>
    <n v="16"/>
    <n v="1.6"/>
    <s v="key"/>
    <x v="27"/>
  </r>
  <r>
    <s v="aug"/>
    <n v="1133"/>
    <n v="6765"/>
    <s v="shirt"/>
    <n v="53"/>
    <n v="70"/>
    <n v="17"/>
    <n v="3.4000000000000004"/>
    <s v="key"/>
    <x v="27"/>
  </r>
  <r>
    <s v="aug"/>
    <n v="1134"/>
    <n v="5778"/>
    <s v="shoes"/>
    <n v="5"/>
    <n v="15"/>
    <n v="10"/>
    <n v="1"/>
    <s v="key"/>
    <x v="28"/>
  </r>
  <r>
    <s v="aug"/>
    <n v="1135"/>
    <n v="5676"/>
    <s v="hoodie"/>
    <n v="6"/>
    <n v="20"/>
    <n v="14"/>
    <n v="1.4000000000000001"/>
    <s v="key"/>
    <x v="28"/>
  </r>
  <r>
    <s v="aug"/>
    <n v="1136"/>
    <n v="5754"/>
    <s v="pants"/>
    <n v="56"/>
    <n v="70"/>
    <n v="14"/>
    <n v="2.8000000000000003"/>
    <s v="key"/>
    <x v="29"/>
  </r>
  <r>
    <s v="aug"/>
    <n v="1137"/>
    <n v="5567"/>
    <s v="belt"/>
    <n v="12"/>
    <n v="25"/>
    <n v="13"/>
    <n v="1.3"/>
    <s v="key"/>
    <x v="30"/>
  </r>
  <r>
    <s v="aug"/>
    <n v="1138"/>
    <n v="5775"/>
    <s v="watch"/>
    <n v="180"/>
    <n v="210"/>
    <n v="30"/>
    <n v="6"/>
    <s v="key"/>
    <x v="31"/>
  </r>
  <r>
    <s v="aug"/>
    <n v="1139"/>
    <n v="7656"/>
    <s v="bracelet"/>
    <n v="89"/>
    <n v="112"/>
    <n v="23"/>
    <n v="4.6000000000000005"/>
    <s v="key"/>
    <x v="32"/>
  </r>
  <r>
    <s v="sep"/>
    <n v="1140"/>
    <n v="6788"/>
    <s v="neklace "/>
    <n v="354"/>
    <n v="500"/>
    <n v="146"/>
    <n v="29.200000000000003"/>
    <s v="key"/>
    <x v="33"/>
  </r>
  <r>
    <s v="sep"/>
    <n v="1141"/>
    <n v="5667"/>
    <s v="earrings "/>
    <n v="30"/>
    <n v="50"/>
    <n v="20"/>
    <n v="2"/>
    <s v="key"/>
    <x v="34"/>
  </r>
  <r>
    <s v="sep"/>
    <n v="1142"/>
    <n v="6565"/>
    <s v="chain"/>
    <n v="878"/>
    <n v="950"/>
    <n v="72"/>
    <n v="14.4"/>
    <s v="key"/>
    <x v="35"/>
  </r>
  <r>
    <s v="sep"/>
    <n v="1143"/>
    <n v="7675"/>
    <s v="wallet"/>
    <n v="11"/>
    <n v="40"/>
    <n v="29"/>
    <n v="2.9000000000000004"/>
    <s v="key"/>
    <x v="36"/>
  </r>
  <r>
    <s v="sep"/>
    <n v="1144"/>
    <n v="8345"/>
    <s v="keychain "/>
    <n v="7"/>
    <n v="16"/>
    <n v="9"/>
    <n v="0.9"/>
    <s v="key"/>
    <x v="36"/>
  </r>
  <r>
    <s v="sep"/>
    <n v="1145"/>
    <n v="4566"/>
    <s v="shades "/>
    <n v="21"/>
    <n v="31"/>
    <n v="10"/>
    <n v="1"/>
    <s v="key"/>
    <x v="37"/>
  </r>
  <r>
    <s v="sep"/>
    <n v="1146"/>
    <n v="5677"/>
    <s v="buckethat"/>
    <n v="234"/>
    <n v="300"/>
    <n v="66"/>
    <n v="13.200000000000001"/>
    <s v="key"/>
    <x v="38"/>
  </r>
  <r>
    <s v="sep"/>
    <n v="1147"/>
    <n v="6546"/>
    <s v="party set"/>
    <n v="24"/>
    <n v="50"/>
    <n v="26"/>
    <n v="2.6"/>
    <s v="key"/>
    <x v="39"/>
  </r>
  <r>
    <s v="sep"/>
    <n v="1148"/>
    <n v="6544"/>
    <s v="connect 4"/>
    <n v="43"/>
    <n v="60"/>
    <n v="17"/>
    <n v="3.4000000000000004"/>
    <s v="key"/>
    <x v="40"/>
  </r>
  <r>
    <s v="sep"/>
    <n v="1149"/>
    <n v="9800"/>
    <s v="blender"/>
    <n v="44"/>
    <n v="65"/>
    <n v="21"/>
    <n v="4.2"/>
    <s v="key"/>
    <x v="41"/>
  </r>
  <r>
    <s v="sep"/>
    <n v="1150"/>
    <n v="9001"/>
    <s v="protein bar "/>
    <n v="21"/>
    <n v="45"/>
    <n v="24"/>
    <n v="2.4000000000000004"/>
    <s v="key"/>
    <x v="42"/>
  </r>
  <r>
    <s v="sep"/>
    <n v="1151"/>
    <n v="9093"/>
    <s v="protein powder"/>
    <n v="12"/>
    <n v="40"/>
    <n v="28"/>
    <n v="2.8000000000000003"/>
    <s v="key"/>
    <x v="43"/>
  </r>
  <r>
    <s v="sep"/>
    <n v="1152"/>
    <n v="2393"/>
    <s v="goft card "/>
    <n v="44"/>
    <n v="70"/>
    <n v="26"/>
    <n v="5.2"/>
    <s v="key"/>
    <x v="44"/>
  </r>
  <r>
    <s v="sep"/>
    <n v="1153"/>
    <n v="8287"/>
    <s v="pinyata"/>
    <n v="43"/>
    <n v="60"/>
    <n v="17"/>
    <n v="3.4000000000000004"/>
    <s v="key"/>
    <x v="45"/>
  </r>
  <r>
    <s v="sep"/>
    <n v="1154"/>
    <n v="8363"/>
    <s v="party mic"/>
    <n v="23"/>
    <n v="50"/>
    <n v="27"/>
    <n v="2.7"/>
    <s v="key"/>
    <x v="45"/>
  </r>
  <r>
    <s v="sep"/>
    <n v="1155"/>
    <n v="3939"/>
    <s v="pins "/>
    <n v="12"/>
    <n v="36"/>
    <n v="24"/>
    <n v="2.4000000000000004"/>
    <s v="key"/>
    <x v="46"/>
  </r>
  <r>
    <s v="sep"/>
    <n v="1156"/>
    <n v="3833"/>
    <s v="visors "/>
    <n v="12"/>
    <n v="34"/>
    <n v="22"/>
    <n v="2.2000000000000002"/>
    <s v="key"/>
    <x v="47"/>
  </r>
  <r>
    <s v="oct"/>
    <n v="1157"/>
    <n v="1233"/>
    <s v="telescope "/>
    <n v="55"/>
    <n v="70"/>
    <n v="15"/>
    <n v="3"/>
    <s v="key"/>
    <x v="48"/>
  </r>
  <r>
    <s v="oct"/>
    <n v="1158"/>
    <n v="1223"/>
    <s v="night goggles "/>
    <n v="43"/>
    <n v="56"/>
    <n v="13"/>
    <n v="2.6"/>
    <s v="key"/>
    <x v="49"/>
  </r>
  <r>
    <s v="oct"/>
    <n v="1159"/>
    <n v="1123"/>
    <s v="action figure"/>
    <n v="66"/>
    <n v="81"/>
    <n v="15"/>
    <n v="3"/>
    <s v="key"/>
    <x v="50"/>
  </r>
  <r>
    <s v="oct"/>
    <n v="1160"/>
    <n v="1322"/>
    <s v="bead set"/>
    <n v="45"/>
    <n v="65"/>
    <n v="20"/>
    <n v="4"/>
    <s v="key"/>
    <x v="51"/>
  </r>
  <r>
    <s v="oct"/>
    <n v="1161"/>
    <n v="1332"/>
    <s v="wide tooth comb"/>
    <n v="34"/>
    <n v="54"/>
    <n v="20"/>
    <n v="4"/>
    <s v="key"/>
    <x v="52"/>
  </r>
  <r>
    <s v="oct"/>
    <n v="1162"/>
    <n v="1222"/>
    <s v="rat tail comb"/>
    <n v="23"/>
    <n v="45"/>
    <n v="22"/>
    <n v="2.2000000000000002"/>
    <s v="key"/>
    <x v="53"/>
  </r>
  <r>
    <s v="oct"/>
    <n v="1163"/>
    <n v="1443"/>
    <s v="mouse traps"/>
    <n v="56"/>
    <n v="74"/>
    <n v="18"/>
    <n v="3.6"/>
    <s v="key"/>
    <x v="54"/>
  </r>
  <r>
    <s v="oct"/>
    <n v="1164"/>
    <n v="1223"/>
    <s v="fly trap"/>
    <n v="12"/>
    <n v="55"/>
    <n v="43"/>
    <n v="8.6"/>
    <s v="key"/>
    <x v="55"/>
  </r>
  <r>
    <s v="oct"/>
    <n v="1165"/>
    <n v="3212"/>
    <s v="agility ladder "/>
    <n v="11"/>
    <n v="43"/>
    <n v="32"/>
    <n v="3.2"/>
    <s v="key"/>
    <x v="56"/>
  </r>
  <r>
    <s v="oct"/>
    <n v="1166"/>
    <n v="5454"/>
    <s v="nail clipper "/>
    <n v="55"/>
    <n v="72"/>
    <n v="17"/>
    <n v="3.4000000000000004"/>
    <s v="key"/>
    <x v="57"/>
  </r>
  <r>
    <s v="oct"/>
    <n v="1167"/>
    <n v="5001"/>
    <s v="pocket knife "/>
    <n v="14"/>
    <n v="24"/>
    <n v="10"/>
    <n v="1"/>
    <s v="key"/>
    <x v="58"/>
  </r>
  <r>
    <s v="oct"/>
    <n v="1168"/>
    <n v="5854"/>
    <s v="bow tie"/>
    <n v="4"/>
    <n v="18"/>
    <n v="14"/>
    <n v="1.4000000000000001"/>
    <s v="key"/>
    <x v="59"/>
  </r>
  <r>
    <s v="oct"/>
    <n v="1169"/>
    <n v="7000"/>
    <s v="gum"/>
    <n v="4"/>
    <n v="16"/>
    <n v="12"/>
    <n v="1.2000000000000002"/>
    <s v="key"/>
    <x v="60"/>
  </r>
  <r>
    <s v="oct"/>
    <n v="1170"/>
    <n v="7898"/>
    <s v="boxer set"/>
    <n v="23"/>
    <n v="45"/>
    <n v="22"/>
    <n v="2.2000000000000002"/>
    <s v="key"/>
    <x v="61"/>
  </r>
  <r>
    <s v="oct"/>
    <n v="1171"/>
    <n v="7988"/>
    <s v="undershirt set"/>
    <n v="25"/>
    <n v="50"/>
    <n v="25"/>
    <n v="2.5"/>
    <s v="key"/>
    <x v="62"/>
  </r>
  <r>
    <s v="oct"/>
    <n v="1172"/>
    <n v="7999"/>
    <s v="pajamas "/>
    <n v="51"/>
    <n v="78"/>
    <n v="27"/>
    <n v="5.4"/>
    <s v="key"/>
    <x v="63"/>
  </r>
  <r>
    <s v="oct"/>
    <n v="1173"/>
    <n v="9887"/>
    <s v="christmas hat "/>
    <n v="11"/>
    <n v="56"/>
    <n v="45"/>
    <n v="9"/>
    <s v="key"/>
    <x v="64"/>
  </r>
  <r>
    <s v="oct"/>
    <n v="1174"/>
    <n v="9987"/>
    <s v="air fryer"/>
    <n v="10"/>
    <n v="34"/>
    <n v="24"/>
    <n v="2.4000000000000004"/>
    <s v="key"/>
    <x v="65"/>
  </r>
  <r>
    <s v="nov"/>
    <n v="1175"/>
    <n v="7568"/>
    <s v="football sleeve"/>
    <n v="12"/>
    <n v="54"/>
    <n v="42"/>
    <n v="8.4"/>
    <s v="key"/>
    <x v="66"/>
  </r>
  <r>
    <s v="nov"/>
    <n v="1176"/>
    <n v="8766"/>
    <s v="gatorade water bottle"/>
    <n v="34"/>
    <n v="54"/>
    <n v="20"/>
    <n v="4"/>
    <s v="key"/>
    <x v="67"/>
  </r>
  <r>
    <s v="nov"/>
    <n v="1177"/>
    <n v="8921"/>
    <s v="compression shorts"/>
    <n v="32"/>
    <n v="67"/>
    <n v="35"/>
    <n v="7"/>
    <s v="key"/>
    <x v="68"/>
  </r>
  <r>
    <s v="nov"/>
    <n v="1178"/>
    <n v="8821"/>
    <s v="hand wrap"/>
    <n v="44"/>
    <n v="67"/>
    <n v="23"/>
    <n v="4.6000000000000005"/>
    <s v="key"/>
    <x v="69"/>
  </r>
  <r>
    <s v="nov"/>
    <n v="1179"/>
    <n v="1827"/>
    <s v="swim cap"/>
    <n v="32"/>
    <n v="87"/>
    <n v="55"/>
    <n v="11"/>
    <s v="key"/>
    <x v="70"/>
  </r>
  <r>
    <s v="nov"/>
    <n v="1180"/>
    <n v="1808"/>
    <s v="wine glass set"/>
    <n v="12"/>
    <n v="32"/>
    <n v="20"/>
    <n v="2"/>
    <s v="key"/>
    <x v="71"/>
  </r>
  <r>
    <s v="nov"/>
    <n v="1181"/>
    <n v="8080"/>
    <s v="cigars"/>
    <n v="12"/>
    <n v="40"/>
    <n v="28"/>
    <n v="2.8000000000000003"/>
    <s v="key"/>
    <x v="72"/>
  </r>
  <r>
    <s v="nov"/>
    <n v="1182"/>
    <n v="8181"/>
    <s v="cigerettes "/>
    <n v="34"/>
    <n v="56"/>
    <n v="22"/>
    <n v="4.4000000000000004"/>
    <s v="key"/>
    <x v="73"/>
  </r>
  <r>
    <s v="nov"/>
    <n v="1183"/>
    <n v="4141"/>
    <s v="hair clippers"/>
    <n v="32"/>
    <n v="54"/>
    <n v="22"/>
    <n v="4.4000000000000004"/>
    <s v="key"/>
    <x v="74"/>
  </r>
  <r>
    <s v="nov"/>
    <n v="1184"/>
    <n v="2323"/>
    <s v="shaving cream"/>
    <n v="12"/>
    <n v="31"/>
    <n v="19"/>
    <n v="1.9000000000000001"/>
    <s v="key"/>
    <x v="75"/>
  </r>
  <r>
    <s v="nov"/>
    <n v="1185"/>
    <n v="2423"/>
    <s v="prop money"/>
    <n v="12"/>
    <n v="32"/>
    <n v="20"/>
    <n v="2"/>
    <s v="key"/>
    <x v="76"/>
  </r>
  <r>
    <s v="nov"/>
    <n v="1186"/>
    <n v="2324"/>
    <s v="money counter"/>
    <n v="34"/>
    <n v="47"/>
    <n v="13"/>
    <n v="1.3"/>
    <s v="key"/>
    <x v="77"/>
  </r>
  <r>
    <s v="nov"/>
    <n v="1187"/>
    <n v="6723"/>
    <s v="microwave"/>
    <n v="12"/>
    <n v="50"/>
    <n v="38"/>
    <n v="3.8000000000000003"/>
    <s v="key"/>
    <x v="78"/>
  </r>
  <r>
    <s v="nov"/>
    <n v="1188"/>
    <n v="2342"/>
    <s v="jacket"/>
    <n v="12"/>
    <n v="80"/>
    <n v="68"/>
    <n v="13.600000000000001"/>
    <s v="key"/>
    <x v="79"/>
  </r>
  <r>
    <s v="nov"/>
    <n v="1189"/>
    <n v="2121"/>
    <s v="hoodie"/>
    <n v="1"/>
    <n v="21"/>
    <n v="20"/>
    <n v="2"/>
    <s v="key"/>
    <x v="80"/>
  </r>
  <r>
    <s v="nov"/>
    <n v="1190"/>
    <n v="2167"/>
    <s v="scarf"/>
    <n v="21"/>
    <n v="43"/>
    <n v="22"/>
    <n v="2.2000000000000002"/>
    <s v="key"/>
    <x v="81"/>
  </r>
  <r>
    <s v="nov"/>
    <n v="1191"/>
    <n v="6721"/>
    <s v="blanket"/>
    <n v="234"/>
    <n v="300"/>
    <n v="66"/>
    <n v="13.200000000000001"/>
    <s v="key"/>
    <x v="82"/>
  </r>
  <r>
    <s v="nov"/>
    <n v="1192"/>
    <n v="6897"/>
    <s v="lamp"/>
    <n v="42"/>
    <n v="100"/>
    <n v="58"/>
    <n v="11.600000000000001"/>
    <s v="key"/>
    <x v="82"/>
  </r>
  <r>
    <s v="dec"/>
    <n v="1193"/>
    <n v="1197"/>
    <s v="deorderant "/>
    <n v="32"/>
    <n v="60"/>
    <n v="28"/>
    <n v="5.6000000000000005"/>
    <s v="key"/>
    <x v="83"/>
  </r>
  <r>
    <m/>
    <m/>
    <m/>
    <m/>
    <m/>
    <m/>
    <m/>
    <m/>
    <m/>
    <x v="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777ACD-4220-46C9-BCAD-5B2645076CCE}" name="PivotTable3" cacheId="46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9" firstHeaderRow="1" firstDataRow="1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</pivotFields>
  <rowFields count="1">
    <field x="9"/>
  </rowFields>
  <rowItems count="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 t="grand">
      <x/>
    </i>
  </rowItems>
  <colItems count="1">
    <i/>
  </colItems>
  <dataFields count="1">
    <dataField name="Sum of sale price " fld="5" baseField="0" baseItem="0"/>
  </dataFields>
  <formats count="1">
    <format dxfId="0">
      <pivotArea outline="0" fieldPosition="0">
        <references count="1">
          <reference field="9" count="84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</reference>
        </references>
      </pivotArea>
    </format>
  </formats>
  <chartFormats count="8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15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9" count="1" selected="0">
            <x v="18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9" count="1" selected="0">
            <x v="19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9" count="1" selected="0">
            <x v="20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9" count="1" selected="0">
            <x v="21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9" count="1" selected="0">
            <x v="22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9" count="1" selected="0">
            <x v="23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0"/>
          </reference>
          <reference field="9" count="1" selected="0">
            <x v="24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0"/>
          </reference>
          <reference field="9" count="1" selected="0">
            <x v="25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0"/>
          </reference>
          <reference field="9" count="1" selected="0">
            <x v="26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0"/>
          </reference>
          <reference field="9" count="1" selected="0">
            <x v="27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0"/>
          </reference>
          <reference field="9" count="1" selected="0">
            <x v="28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0"/>
          </reference>
          <reference field="9" count="1" selected="0">
            <x v="29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0"/>
          </reference>
          <reference field="9" count="1" selected="0">
            <x v="30"/>
          </reference>
        </references>
      </pivotArea>
    </chartFormat>
    <chartFormat chart="0" format="32">
      <pivotArea type="data" outline="0" fieldPosition="0">
        <references count="2">
          <reference field="4294967294" count="1" selected="0">
            <x v="0"/>
          </reference>
          <reference field="9" count="1" selected="0">
            <x v="31"/>
          </reference>
        </references>
      </pivotArea>
    </chartFormat>
    <chartFormat chart="0" format="33">
      <pivotArea type="data" outline="0" fieldPosition="0">
        <references count="2">
          <reference field="4294967294" count="1" selected="0">
            <x v="0"/>
          </reference>
          <reference field="9" count="1" selected="0">
            <x v="32"/>
          </reference>
        </references>
      </pivotArea>
    </chartFormat>
    <chartFormat chart="0" format="34">
      <pivotArea type="data" outline="0" fieldPosition="0">
        <references count="2">
          <reference field="4294967294" count="1" selected="0">
            <x v="0"/>
          </reference>
          <reference field="9" count="1" selected="0">
            <x v="33"/>
          </reference>
        </references>
      </pivotArea>
    </chartFormat>
    <chartFormat chart="0" format="35">
      <pivotArea type="data" outline="0" fieldPosition="0">
        <references count="2">
          <reference field="4294967294" count="1" selected="0">
            <x v="0"/>
          </reference>
          <reference field="9" count="1" selected="0">
            <x v="34"/>
          </reference>
        </references>
      </pivotArea>
    </chartFormat>
    <chartFormat chart="0" format="36">
      <pivotArea type="data" outline="0" fieldPosition="0">
        <references count="2">
          <reference field="4294967294" count="1" selected="0">
            <x v="0"/>
          </reference>
          <reference field="9" count="1" selected="0">
            <x v="35"/>
          </reference>
        </references>
      </pivotArea>
    </chartFormat>
    <chartFormat chart="0" format="37">
      <pivotArea type="data" outline="0" fieldPosition="0">
        <references count="2">
          <reference field="4294967294" count="1" selected="0">
            <x v="0"/>
          </reference>
          <reference field="9" count="1" selected="0">
            <x v="36"/>
          </reference>
        </references>
      </pivotArea>
    </chartFormat>
    <chartFormat chart="0" format="38">
      <pivotArea type="data" outline="0" fieldPosition="0">
        <references count="2">
          <reference field="4294967294" count="1" selected="0">
            <x v="0"/>
          </reference>
          <reference field="9" count="1" selected="0">
            <x v="37"/>
          </reference>
        </references>
      </pivotArea>
    </chartFormat>
    <chartFormat chart="0" format="39">
      <pivotArea type="data" outline="0" fieldPosition="0">
        <references count="2">
          <reference field="4294967294" count="1" selected="0">
            <x v="0"/>
          </reference>
          <reference field="9" count="1" selected="0">
            <x v="38"/>
          </reference>
        </references>
      </pivotArea>
    </chartFormat>
    <chartFormat chart="0" format="40">
      <pivotArea type="data" outline="0" fieldPosition="0">
        <references count="2">
          <reference field="4294967294" count="1" selected="0">
            <x v="0"/>
          </reference>
          <reference field="9" count="1" selected="0">
            <x v="39"/>
          </reference>
        </references>
      </pivotArea>
    </chartFormat>
    <chartFormat chart="0" format="41">
      <pivotArea type="data" outline="0" fieldPosition="0">
        <references count="2">
          <reference field="4294967294" count="1" selected="0">
            <x v="0"/>
          </reference>
          <reference field="9" count="1" selected="0">
            <x v="40"/>
          </reference>
        </references>
      </pivotArea>
    </chartFormat>
    <chartFormat chart="0" format="42">
      <pivotArea type="data" outline="0" fieldPosition="0">
        <references count="2">
          <reference field="4294967294" count="1" selected="0">
            <x v="0"/>
          </reference>
          <reference field="9" count="1" selected="0">
            <x v="41"/>
          </reference>
        </references>
      </pivotArea>
    </chartFormat>
    <chartFormat chart="0" format="43">
      <pivotArea type="data" outline="0" fieldPosition="0">
        <references count="2">
          <reference field="4294967294" count="1" selected="0">
            <x v="0"/>
          </reference>
          <reference field="9" count="1" selected="0">
            <x v="42"/>
          </reference>
        </references>
      </pivotArea>
    </chartFormat>
    <chartFormat chart="0" format="44">
      <pivotArea type="data" outline="0" fieldPosition="0">
        <references count="2">
          <reference field="4294967294" count="1" selected="0">
            <x v="0"/>
          </reference>
          <reference field="9" count="1" selected="0">
            <x v="43"/>
          </reference>
        </references>
      </pivotArea>
    </chartFormat>
    <chartFormat chart="0" format="45">
      <pivotArea type="data" outline="0" fieldPosition="0">
        <references count="2">
          <reference field="4294967294" count="1" selected="0">
            <x v="0"/>
          </reference>
          <reference field="9" count="1" selected="0">
            <x v="44"/>
          </reference>
        </references>
      </pivotArea>
    </chartFormat>
    <chartFormat chart="0" format="46">
      <pivotArea type="data" outline="0" fieldPosition="0">
        <references count="2">
          <reference field="4294967294" count="1" selected="0">
            <x v="0"/>
          </reference>
          <reference field="9" count="1" selected="0">
            <x v="45"/>
          </reference>
        </references>
      </pivotArea>
    </chartFormat>
    <chartFormat chart="0" format="47">
      <pivotArea type="data" outline="0" fieldPosition="0">
        <references count="2">
          <reference field="4294967294" count="1" selected="0">
            <x v="0"/>
          </reference>
          <reference field="9" count="1" selected="0">
            <x v="46"/>
          </reference>
        </references>
      </pivotArea>
    </chartFormat>
    <chartFormat chart="0" format="48">
      <pivotArea type="data" outline="0" fieldPosition="0">
        <references count="2">
          <reference field="4294967294" count="1" selected="0">
            <x v="0"/>
          </reference>
          <reference field="9" count="1" selected="0">
            <x v="47"/>
          </reference>
        </references>
      </pivotArea>
    </chartFormat>
    <chartFormat chart="0" format="49">
      <pivotArea type="data" outline="0" fieldPosition="0">
        <references count="2">
          <reference field="4294967294" count="1" selected="0">
            <x v="0"/>
          </reference>
          <reference field="9" count="1" selected="0">
            <x v="48"/>
          </reference>
        </references>
      </pivotArea>
    </chartFormat>
    <chartFormat chart="0" format="50">
      <pivotArea type="data" outline="0" fieldPosition="0">
        <references count="2">
          <reference field="4294967294" count="1" selected="0">
            <x v="0"/>
          </reference>
          <reference field="9" count="1" selected="0">
            <x v="49"/>
          </reference>
        </references>
      </pivotArea>
    </chartFormat>
    <chartFormat chart="0" format="51">
      <pivotArea type="data" outline="0" fieldPosition="0">
        <references count="2">
          <reference field="4294967294" count="1" selected="0">
            <x v="0"/>
          </reference>
          <reference field="9" count="1" selected="0">
            <x v="50"/>
          </reference>
        </references>
      </pivotArea>
    </chartFormat>
    <chartFormat chart="0" format="52">
      <pivotArea type="data" outline="0" fieldPosition="0">
        <references count="2">
          <reference field="4294967294" count="1" selected="0">
            <x v="0"/>
          </reference>
          <reference field="9" count="1" selected="0">
            <x v="51"/>
          </reference>
        </references>
      </pivotArea>
    </chartFormat>
    <chartFormat chart="0" format="53">
      <pivotArea type="data" outline="0" fieldPosition="0">
        <references count="2">
          <reference field="4294967294" count="1" selected="0">
            <x v="0"/>
          </reference>
          <reference field="9" count="1" selected="0">
            <x v="52"/>
          </reference>
        </references>
      </pivotArea>
    </chartFormat>
    <chartFormat chart="0" format="54">
      <pivotArea type="data" outline="0" fieldPosition="0">
        <references count="2">
          <reference field="4294967294" count="1" selected="0">
            <x v="0"/>
          </reference>
          <reference field="9" count="1" selected="0">
            <x v="53"/>
          </reference>
        </references>
      </pivotArea>
    </chartFormat>
    <chartFormat chart="0" format="55">
      <pivotArea type="data" outline="0" fieldPosition="0">
        <references count="2">
          <reference field="4294967294" count="1" selected="0">
            <x v="0"/>
          </reference>
          <reference field="9" count="1" selected="0">
            <x v="54"/>
          </reference>
        </references>
      </pivotArea>
    </chartFormat>
    <chartFormat chart="0" format="56">
      <pivotArea type="data" outline="0" fieldPosition="0">
        <references count="2">
          <reference field="4294967294" count="1" selected="0">
            <x v="0"/>
          </reference>
          <reference field="9" count="1" selected="0">
            <x v="55"/>
          </reference>
        </references>
      </pivotArea>
    </chartFormat>
    <chartFormat chart="0" format="57">
      <pivotArea type="data" outline="0" fieldPosition="0">
        <references count="2">
          <reference field="4294967294" count="1" selected="0">
            <x v="0"/>
          </reference>
          <reference field="9" count="1" selected="0">
            <x v="56"/>
          </reference>
        </references>
      </pivotArea>
    </chartFormat>
    <chartFormat chart="0" format="58">
      <pivotArea type="data" outline="0" fieldPosition="0">
        <references count="2">
          <reference field="4294967294" count="1" selected="0">
            <x v="0"/>
          </reference>
          <reference field="9" count="1" selected="0">
            <x v="57"/>
          </reference>
        </references>
      </pivotArea>
    </chartFormat>
    <chartFormat chart="0" format="59">
      <pivotArea type="data" outline="0" fieldPosition="0">
        <references count="2">
          <reference field="4294967294" count="1" selected="0">
            <x v="0"/>
          </reference>
          <reference field="9" count="1" selected="0">
            <x v="58"/>
          </reference>
        </references>
      </pivotArea>
    </chartFormat>
    <chartFormat chart="0" format="60">
      <pivotArea type="data" outline="0" fieldPosition="0">
        <references count="2">
          <reference field="4294967294" count="1" selected="0">
            <x v="0"/>
          </reference>
          <reference field="9" count="1" selected="0">
            <x v="59"/>
          </reference>
        </references>
      </pivotArea>
    </chartFormat>
    <chartFormat chart="0" format="61">
      <pivotArea type="data" outline="0" fieldPosition="0">
        <references count="2">
          <reference field="4294967294" count="1" selected="0">
            <x v="0"/>
          </reference>
          <reference field="9" count="1" selected="0">
            <x v="60"/>
          </reference>
        </references>
      </pivotArea>
    </chartFormat>
    <chartFormat chart="0" format="62">
      <pivotArea type="data" outline="0" fieldPosition="0">
        <references count="2">
          <reference field="4294967294" count="1" selected="0">
            <x v="0"/>
          </reference>
          <reference field="9" count="1" selected="0">
            <x v="61"/>
          </reference>
        </references>
      </pivotArea>
    </chartFormat>
    <chartFormat chart="0" format="63">
      <pivotArea type="data" outline="0" fieldPosition="0">
        <references count="2">
          <reference field="4294967294" count="1" selected="0">
            <x v="0"/>
          </reference>
          <reference field="9" count="1" selected="0">
            <x v="62"/>
          </reference>
        </references>
      </pivotArea>
    </chartFormat>
    <chartFormat chart="0" format="64">
      <pivotArea type="data" outline="0" fieldPosition="0">
        <references count="2">
          <reference field="4294967294" count="1" selected="0">
            <x v="0"/>
          </reference>
          <reference field="9" count="1" selected="0">
            <x v="63"/>
          </reference>
        </references>
      </pivotArea>
    </chartFormat>
    <chartFormat chart="0" format="65">
      <pivotArea type="data" outline="0" fieldPosition="0">
        <references count="2">
          <reference field="4294967294" count="1" selected="0">
            <x v="0"/>
          </reference>
          <reference field="9" count="1" selected="0">
            <x v="64"/>
          </reference>
        </references>
      </pivotArea>
    </chartFormat>
    <chartFormat chart="0" format="66">
      <pivotArea type="data" outline="0" fieldPosition="0">
        <references count="2">
          <reference field="4294967294" count="1" selected="0">
            <x v="0"/>
          </reference>
          <reference field="9" count="1" selected="0">
            <x v="65"/>
          </reference>
        </references>
      </pivotArea>
    </chartFormat>
    <chartFormat chart="0" format="67">
      <pivotArea type="data" outline="0" fieldPosition="0">
        <references count="2">
          <reference field="4294967294" count="1" selected="0">
            <x v="0"/>
          </reference>
          <reference field="9" count="1" selected="0">
            <x v="66"/>
          </reference>
        </references>
      </pivotArea>
    </chartFormat>
    <chartFormat chart="0" format="68">
      <pivotArea type="data" outline="0" fieldPosition="0">
        <references count="2">
          <reference field="4294967294" count="1" selected="0">
            <x v="0"/>
          </reference>
          <reference field="9" count="1" selected="0">
            <x v="67"/>
          </reference>
        </references>
      </pivotArea>
    </chartFormat>
    <chartFormat chart="0" format="69">
      <pivotArea type="data" outline="0" fieldPosition="0">
        <references count="2">
          <reference field="4294967294" count="1" selected="0">
            <x v="0"/>
          </reference>
          <reference field="9" count="1" selected="0">
            <x v="68"/>
          </reference>
        </references>
      </pivotArea>
    </chartFormat>
    <chartFormat chart="0" format="70">
      <pivotArea type="data" outline="0" fieldPosition="0">
        <references count="2">
          <reference field="4294967294" count="1" selected="0">
            <x v="0"/>
          </reference>
          <reference field="9" count="1" selected="0">
            <x v="69"/>
          </reference>
        </references>
      </pivotArea>
    </chartFormat>
    <chartFormat chart="0" format="71">
      <pivotArea type="data" outline="0" fieldPosition="0">
        <references count="2">
          <reference field="4294967294" count="1" selected="0">
            <x v="0"/>
          </reference>
          <reference field="9" count="1" selected="0">
            <x v="70"/>
          </reference>
        </references>
      </pivotArea>
    </chartFormat>
    <chartFormat chart="0" format="72">
      <pivotArea type="data" outline="0" fieldPosition="0">
        <references count="2">
          <reference field="4294967294" count="1" selected="0">
            <x v="0"/>
          </reference>
          <reference field="9" count="1" selected="0">
            <x v="71"/>
          </reference>
        </references>
      </pivotArea>
    </chartFormat>
    <chartFormat chart="0" format="73">
      <pivotArea type="data" outline="0" fieldPosition="0">
        <references count="2">
          <reference field="4294967294" count="1" selected="0">
            <x v="0"/>
          </reference>
          <reference field="9" count="1" selected="0">
            <x v="72"/>
          </reference>
        </references>
      </pivotArea>
    </chartFormat>
    <chartFormat chart="0" format="74">
      <pivotArea type="data" outline="0" fieldPosition="0">
        <references count="2">
          <reference field="4294967294" count="1" selected="0">
            <x v="0"/>
          </reference>
          <reference field="9" count="1" selected="0">
            <x v="73"/>
          </reference>
        </references>
      </pivotArea>
    </chartFormat>
    <chartFormat chart="0" format="75">
      <pivotArea type="data" outline="0" fieldPosition="0">
        <references count="2">
          <reference field="4294967294" count="1" selected="0">
            <x v="0"/>
          </reference>
          <reference field="9" count="1" selected="0">
            <x v="74"/>
          </reference>
        </references>
      </pivotArea>
    </chartFormat>
    <chartFormat chart="0" format="76">
      <pivotArea type="data" outline="0" fieldPosition="0">
        <references count="2">
          <reference field="4294967294" count="1" selected="0">
            <x v="0"/>
          </reference>
          <reference field="9" count="1" selected="0">
            <x v="75"/>
          </reference>
        </references>
      </pivotArea>
    </chartFormat>
    <chartFormat chart="0" format="77">
      <pivotArea type="data" outline="0" fieldPosition="0">
        <references count="2">
          <reference field="4294967294" count="1" selected="0">
            <x v="0"/>
          </reference>
          <reference field="9" count="1" selected="0">
            <x v="76"/>
          </reference>
        </references>
      </pivotArea>
    </chartFormat>
    <chartFormat chart="0" format="78">
      <pivotArea type="data" outline="0" fieldPosition="0">
        <references count="2">
          <reference field="4294967294" count="1" selected="0">
            <x v="0"/>
          </reference>
          <reference field="9" count="1" selected="0">
            <x v="77"/>
          </reference>
        </references>
      </pivotArea>
    </chartFormat>
    <chartFormat chart="0" format="79">
      <pivotArea type="data" outline="0" fieldPosition="0">
        <references count="2">
          <reference field="4294967294" count="1" selected="0">
            <x v="0"/>
          </reference>
          <reference field="9" count="1" selected="0">
            <x v="78"/>
          </reference>
        </references>
      </pivotArea>
    </chartFormat>
    <chartFormat chart="0" format="80">
      <pivotArea type="data" outline="0" fieldPosition="0">
        <references count="2">
          <reference field="4294967294" count="1" selected="0">
            <x v="0"/>
          </reference>
          <reference field="9" count="1" selected="0">
            <x v="79"/>
          </reference>
        </references>
      </pivotArea>
    </chartFormat>
    <chartFormat chart="0" format="81">
      <pivotArea type="data" outline="0" fieldPosition="0">
        <references count="2">
          <reference field="4294967294" count="1" selected="0">
            <x v="0"/>
          </reference>
          <reference field="9" count="1" selected="0">
            <x v="80"/>
          </reference>
        </references>
      </pivotArea>
    </chartFormat>
    <chartFormat chart="0" format="82">
      <pivotArea type="data" outline="0" fieldPosition="0">
        <references count="2">
          <reference field="4294967294" count="1" selected="0">
            <x v="0"/>
          </reference>
          <reference field="9" count="1" selected="0">
            <x v="81"/>
          </reference>
        </references>
      </pivotArea>
    </chartFormat>
    <chartFormat chart="0" format="83">
      <pivotArea type="data" outline="0" fieldPosition="0">
        <references count="2">
          <reference field="4294967294" count="1" selected="0">
            <x v="0"/>
          </reference>
          <reference field="9" count="1" selected="0">
            <x v="82"/>
          </reference>
        </references>
      </pivotArea>
    </chartFormat>
    <chartFormat chart="0" format="84">
      <pivotArea type="data" outline="0" fieldPosition="0">
        <references count="2">
          <reference field="4294967294" count="1" selected="0">
            <x v="0"/>
          </reference>
          <reference field="9" count="1" selected="0">
            <x v="83"/>
          </reference>
        </references>
      </pivotArea>
    </chartFormat>
    <chartFormat chart="0" format="85">
      <pivotArea type="data" outline="0" fieldPosition="0">
        <references count="2">
          <reference field="4294967294" count="1" selected="0">
            <x v="0"/>
          </reference>
          <reference field="9" count="1" selected="0">
            <x v="8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9"/>
  <sheetViews>
    <sheetView tabSelected="1" workbookViewId="0"/>
  </sheetViews>
  <sheetFormatPr defaultRowHeight="15"/>
  <cols>
    <col min="1" max="1" width="24.5703125" style="2" bestFit="1" customWidth="1"/>
    <col min="2" max="2" width="12.28515625" style="2" bestFit="1" customWidth="1"/>
    <col min="3" max="3" width="22.28515625" style="2" bestFit="1" customWidth="1"/>
    <col min="4" max="4" width="19" style="2" bestFit="1" customWidth="1"/>
    <col min="5" max="5" width="10" style="2" bestFit="1" customWidth="1"/>
    <col min="6" max="6" width="12.7109375" style="2" bestFit="1" customWidth="1"/>
    <col min="7" max="7" width="9.140625" style="2"/>
    <col min="8" max="8" width="36.5703125" style="2" bestFit="1" customWidth="1"/>
    <col min="9" max="9" width="20.5703125" style="2" bestFit="1" customWidth="1"/>
    <col min="10" max="10" width="20.5703125" style="2" customWidth="1"/>
    <col min="11" max="11" width="13.140625" style="2" bestFit="1" customWidth="1"/>
    <col min="13" max="13" width="12.42578125" bestFit="1" customWidth="1"/>
  </cols>
  <sheetData>
    <row r="1" spans="1:23" ht="29.25">
      <c r="A1" s="1" t="s">
        <v>0</v>
      </c>
      <c r="B1" s="1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>
      <c r="A2" s="2" t="s">
        <v>10</v>
      </c>
      <c r="B2" s="2">
        <v>1000</v>
      </c>
      <c r="C2" s="3">
        <v>7389</v>
      </c>
      <c r="D2" s="2" t="s">
        <v>11</v>
      </c>
      <c r="E2" s="4">
        <v>12</v>
      </c>
      <c r="F2" s="5">
        <v>15</v>
      </c>
      <c r="G2" s="5">
        <f>F2-E2</f>
        <v>3</v>
      </c>
      <c r="H2" s="5">
        <f>IF(F2&gt;50,G2*0.2,G2*0.1)</f>
        <v>0.30000000000000004</v>
      </c>
      <c r="I2" s="2" t="s">
        <v>12</v>
      </c>
      <c r="J2" s="2" t="s">
        <v>13</v>
      </c>
    </row>
    <row r="3" spans="1:23">
      <c r="A3" s="2" t="s">
        <v>10</v>
      </c>
      <c r="B3" s="2">
        <f>B2+1</f>
        <v>1001</v>
      </c>
      <c r="C3" s="2">
        <v>1243</v>
      </c>
      <c r="D3" s="2" t="s">
        <v>14</v>
      </c>
      <c r="E3" s="6">
        <v>23</v>
      </c>
      <c r="F3" s="5">
        <v>26</v>
      </c>
      <c r="G3" s="5">
        <f>F3-E3</f>
        <v>3</v>
      </c>
      <c r="H3" s="5">
        <f>IF(F3&gt;50,G3*0.2,G3*0.1)</f>
        <v>0.30000000000000004</v>
      </c>
      <c r="I3" s="2" t="s">
        <v>15</v>
      </c>
      <c r="J3" s="2" t="s">
        <v>13</v>
      </c>
      <c r="M3" t="s">
        <v>16</v>
      </c>
    </row>
    <row r="4" spans="1:23">
      <c r="A4" s="2" t="s">
        <v>10</v>
      </c>
      <c r="B4" s="2">
        <f>B3+1</f>
        <v>1002</v>
      </c>
      <c r="C4" s="2">
        <v>3453</v>
      </c>
      <c r="D4" s="2" t="s">
        <v>17</v>
      </c>
      <c r="E4" s="5">
        <v>21</v>
      </c>
      <c r="F4" s="5">
        <v>30</v>
      </c>
      <c r="G4" s="5">
        <f>F4-E4</f>
        <v>9</v>
      </c>
      <c r="H4" s="9">
        <f>IF(F4&gt;50,G4*0.2,G4*0.1)</f>
        <v>0.9</v>
      </c>
      <c r="I4" s="2" t="s">
        <v>18</v>
      </c>
      <c r="J4" s="2" t="s">
        <v>19</v>
      </c>
      <c r="M4" t="s">
        <v>20</v>
      </c>
    </row>
    <row r="5" spans="1:23">
      <c r="A5" s="2" t="s">
        <v>10</v>
      </c>
      <c r="B5" s="2">
        <f>B4+1</f>
        <v>1003</v>
      </c>
      <c r="C5" s="2">
        <v>3454</v>
      </c>
      <c r="D5" s="2" t="s">
        <v>21</v>
      </c>
      <c r="E5" s="5">
        <v>12</v>
      </c>
      <c r="F5" s="5">
        <v>17</v>
      </c>
      <c r="G5" s="5">
        <f>F5-E5</f>
        <v>5</v>
      </c>
      <c r="H5" s="9">
        <f>IF(F5&gt;50,G5*0.2,G5*0.1)</f>
        <v>0.5</v>
      </c>
      <c r="I5" s="2" t="s">
        <v>22</v>
      </c>
      <c r="J5" s="2" t="s">
        <v>23</v>
      </c>
      <c r="M5" t="s">
        <v>24</v>
      </c>
    </row>
    <row r="6" spans="1:23">
      <c r="A6" s="2" t="s">
        <v>10</v>
      </c>
      <c r="B6" s="2">
        <f>B5+1</f>
        <v>1004</v>
      </c>
      <c r="C6" s="2">
        <v>5643</v>
      </c>
      <c r="D6" s="2" t="s">
        <v>25</v>
      </c>
      <c r="E6" s="5">
        <v>3</v>
      </c>
      <c r="F6" s="5">
        <v>6</v>
      </c>
      <c r="G6" s="5">
        <f>F6-E6</f>
        <v>3</v>
      </c>
      <c r="H6" s="9">
        <f>IF(F6&gt;50,G6*0.2,G6*0.1)</f>
        <v>0.30000000000000004</v>
      </c>
      <c r="I6" s="2" t="s">
        <v>26</v>
      </c>
      <c r="J6" s="2" t="s">
        <v>23</v>
      </c>
      <c r="M6" t="s">
        <v>27</v>
      </c>
    </row>
    <row r="7" spans="1:23">
      <c r="A7" s="2" t="s">
        <v>10</v>
      </c>
      <c r="B7" s="2">
        <f>B6+1</f>
        <v>1005</v>
      </c>
      <c r="C7" s="2">
        <v>5675</v>
      </c>
      <c r="D7" s="2" t="s">
        <v>28</v>
      </c>
      <c r="E7" s="5">
        <v>4</v>
      </c>
      <c r="F7" s="5">
        <v>12</v>
      </c>
      <c r="G7" s="5">
        <f>F7-E7</f>
        <v>8</v>
      </c>
      <c r="H7" s="9">
        <f>IF(F7&gt;50,G7*0.2,G7*0.1)</f>
        <v>0.8</v>
      </c>
      <c r="I7" s="2" t="s">
        <v>29</v>
      </c>
      <c r="J7" s="2" t="s">
        <v>23</v>
      </c>
      <c r="M7" t="s">
        <v>30</v>
      </c>
    </row>
    <row r="8" spans="1:23">
      <c r="A8" s="2" t="s">
        <v>10</v>
      </c>
      <c r="B8" s="2">
        <f>B7+1</f>
        <v>1006</v>
      </c>
      <c r="C8" s="2">
        <v>5634</v>
      </c>
      <c r="D8" s="2" t="s">
        <v>31</v>
      </c>
      <c r="E8" s="5">
        <v>6</v>
      </c>
      <c r="F8" s="5">
        <v>14</v>
      </c>
      <c r="G8" s="5">
        <f>F8-E8</f>
        <v>8</v>
      </c>
      <c r="H8" s="9">
        <f>IF(F8&gt;50,G8*0.2,G8*0.1)</f>
        <v>0.8</v>
      </c>
      <c r="I8" s="2" t="s">
        <v>32</v>
      </c>
      <c r="J8" s="2" t="s">
        <v>23</v>
      </c>
      <c r="M8" t="s">
        <v>33</v>
      </c>
    </row>
    <row r="9" spans="1:23">
      <c r="A9" s="2" t="s">
        <v>10</v>
      </c>
      <c r="B9" s="2">
        <f>B8+1</f>
        <v>1007</v>
      </c>
      <c r="C9" s="2">
        <v>6785</v>
      </c>
      <c r="D9" s="2" t="s">
        <v>34</v>
      </c>
      <c r="E9" s="5">
        <v>8</v>
      </c>
      <c r="F9" s="5">
        <v>14</v>
      </c>
      <c r="G9" s="5">
        <f>F9-E9</f>
        <v>6</v>
      </c>
      <c r="H9" s="9">
        <f>IF(F9&gt;50,G9*0.2,G9*0.1)</f>
        <v>0.60000000000000009</v>
      </c>
      <c r="I9" s="2" t="s">
        <v>35</v>
      </c>
      <c r="J9" s="2" t="s">
        <v>23</v>
      </c>
      <c r="M9" t="s">
        <v>36</v>
      </c>
    </row>
    <row r="10" spans="1:23">
      <c r="A10" s="2" t="s">
        <v>10</v>
      </c>
      <c r="B10" s="2">
        <f>B9+1</f>
        <v>1008</v>
      </c>
      <c r="C10" s="2">
        <v>6567</v>
      </c>
      <c r="D10" s="2" t="s">
        <v>37</v>
      </c>
      <c r="E10" s="5">
        <v>45</v>
      </c>
      <c r="F10" s="5">
        <v>65</v>
      </c>
      <c r="G10" s="5">
        <f>F10-E10</f>
        <v>20</v>
      </c>
      <c r="H10" s="9">
        <f>IF(F10&gt;50,G10*0.2,G10*0.1)</f>
        <v>4</v>
      </c>
      <c r="I10" s="2" t="s">
        <v>38</v>
      </c>
      <c r="J10" s="2" t="s">
        <v>23</v>
      </c>
    </row>
    <row r="11" spans="1:23">
      <c r="A11" s="2" t="s">
        <v>10</v>
      </c>
      <c r="B11" s="2">
        <f>B10+1</f>
        <v>1009</v>
      </c>
      <c r="C11" s="2">
        <v>3454</v>
      </c>
      <c r="D11" s="2" t="s">
        <v>39</v>
      </c>
      <c r="E11" s="5">
        <v>4</v>
      </c>
      <c r="F11" s="5">
        <v>15</v>
      </c>
      <c r="G11" s="5">
        <f>F11-E11</f>
        <v>11</v>
      </c>
      <c r="H11" s="9">
        <f>IF(F11&gt;50,G11*0.2,G11*0.1)</f>
        <v>1.1000000000000001</v>
      </c>
      <c r="I11" s="2" t="s">
        <v>40</v>
      </c>
      <c r="J11" s="2" t="s">
        <v>23</v>
      </c>
    </row>
    <row r="12" spans="1:23">
      <c r="A12" s="2" t="s">
        <v>10</v>
      </c>
      <c r="B12" s="2">
        <f>B11+1</f>
        <v>1010</v>
      </c>
      <c r="C12" s="2">
        <v>3448</v>
      </c>
      <c r="D12" s="2" t="s">
        <v>41</v>
      </c>
      <c r="E12" s="5">
        <v>32</v>
      </c>
      <c r="F12" s="5">
        <v>45</v>
      </c>
      <c r="G12" s="5">
        <f>F12-E12</f>
        <v>13</v>
      </c>
      <c r="H12" s="9">
        <f>IF(F12&gt;50,G12*0.2,G12*0.1)</f>
        <v>1.3</v>
      </c>
      <c r="I12" s="2" t="s">
        <v>42</v>
      </c>
      <c r="J12" s="2" t="s">
        <v>23</v>
      </c>
    </row>
    <row r="13" spans="1:23">
      <c r="A13" s="2" t="s">
        <v>10</v>
      </c>
      <c r="B13" s="2">
        <f>B12+1</f>
        <v>1011</v>
      </c>
      <c r="C13" s="2">
        <v>9876</v>
      </c>
      <c r="D13" s="2" t="s">
        <v>43</v>
      </c>
      <c r="E13" s="5">
        <v>23</v>
      </c>
      <c r="F13" s="5">
        <v>43</v>
      </c>
      <c r="G13" s="5">
        <f>F13-E13</f>
        <v>20</v>
      </c>
      <c r="H13" s="9">
        <f>IF(F13&gt;50,G13*0.2,G13*0.1)</f>
        <v>2</v>
      </c>
      <c r="I13" s="2" t="s">
        <v>44</v>
      </c>
      <c r="J13" s="2" t="s">
        <v>23</v>
      </c>
    </row>
    <row r="14" spans="1:23">
      <c r="A14" s="2" t="s">
        <v>10</v>
      </c>
      <c r="B14" s="2">
        <f>B13+1</f>
        <v>1012</v>
      </c>
      <c r="C14" s="2">
        <v>6755</v>
      </c>
      <c r="D14" s="2" t="s">
        <v>45</v>
      </c>
      <c r="E14" s="5">
        <v>221</v>
      </c>
      <c r="F14" s="5">
        <v>300</v>
      </c>
      <c r="G14" s="5">
        <f>F14-E14</f>
        <v>79</v>
      </c>
      <c r="H14" s="9">
        <f>IF(F14&gt;50,G14*0.2,G14*0.1)</f>
        <v>15.8</v>
      </c>
      <c r="I14" s="2" t="s">
        <v>46</v>
      </c>
      <c r="J14" s="2" t="s">
        <v>23</v>
      </c>
    </row>
    <row r="15" spans="1:23">
      <c r="A15" s="2" t="s">
        <v>10</v>
      </c>
      <c r="B15" s="2">
        <f>B14+1</f>
        <v>1013</v>
      </c>
      <c r="C15" s="2">
        <v>6567</v>
      </c>
      <c r="D15" s="2" t="s">
        <v>47</v>
      </c>
      <c r="E15" s="5">
        <v>34</v>
      </c>
      <c r="F15" s="5">
        <v>56</v>
      </c>
      <c r="G15" s="5">
        <f>F15-E15</f>
        <v>22</v>
      </c>
      <c r="H15" s="9">
        <f>IF(F15&gt;50,G15*0.2,G15*0.1)</f>
        <v>4.4000000000000004</v>
      </c>
      <c r="I15" s="2" t="s">
        <v>48</v>
      </c>
      <c r="J15" s="2" t="s">
        <v>23</v>
      </c>
    </row>
    <row r="16" spans="1:23">
      <c r="A16" s="2" t="s">
        <v>10</v>
      </c>
      <c r="B16" s="2">
        <f>B15+1</f>
        <v>1014</v>
      </c>
      <c r="C16" s="2">
        <v>6788</v>
      </c>
      <c r="D16" s="2" t="s">
        <v>49</v>
      </c>
      <c r="E16" s="5">
        <v>34</v>
      </c>
      <c r="F16" s="5">
        <v>65</v>
      </c>
      <c r="G16" s="5">
        <f>F16-E16</f>
        <v>31</v>
      </c>
      <c r="H16" s="9">
        <f>IF(F16&gt;50,G16*0.2,G16*0.1)</f>
        <v>6.2</v>
      </c>
      <c r="I16" s="2" t="s">
        <v>50</v>
      </c>
      <c r="J16" s="2" t="s">
        <v>23</v>
      </c>
    </row>
    <row r="17" spans="1:10">
      <c r="A17" s="2" t="s">
        <v>10</v>
      </c>
      <c r="B17" s="2">
        <f>B16+1</f>
        <v>1015</v>
      </c>
      <c r="C17" s="2">
        <v>7789</v>
      </c>
      <c r="D17" s="2" t="s">
        <v>51</v>
      </c>
      <c r="E17" s="5">
        <v>65</v>
      </c>
      <c r="F17" s="5">
        <v>79</v>
      </c>
      <c r="G17" s="5">
        <f>F17-E17</f>
        <v>14</v>
      </c>
      <c r="H17" s="9">
        <f>IF(F17&gt;50,G17*0.2,G17*0.1)</f>
        <v>2.8000000000000003</v>
      </c>
      <c r="I17" s="2" t="s">
        <v>52</v>
      </c>
      <c r="J17" s="2" t="s">
        <v>23</v>
      </c>
    </row>
    <row r="18" spans="1:10">
      <c r="A18" s="2" t="s">
        <v>53</v>
      </c>
      <c r="B18" s="2">
        <f>B17+1</f>
        <v>1016</v>
      </c>
      <c r="C18" s="2">
        <v>6767</v>
      </c>
      <c r="D18" s="2" t="s">
        <v>54</v>
      </c>
      <c r="E18" s="5">
        <v>23</v>
      </c>
      <c r="F18" s="5">
        <v>36</v>
      </c>
      <c r="G18" s="5">
        <f>F18-E18</f>
        <v>13</v>
      </c>
      <c r="H18" s="9">
        <f>IF(F18&gt;50,G18*0.2,G18*0.1)</f>
        <v>1.3</v>
      </c>
      <c r="I18" s="2" t="s">
        <v>55</v>
      </c>
      <c r="J18" s="2" t="s">
        <v>23</v>
      </c>
    </row>
    <row r="19" spans="1:10">
      <c r="A19" s="2" t="s">
        <v>53</v>
      </c>
      <c r="B19" s="2">
        <f>B18+1</f>
        <v>1017</v>
      </c>
      <c r="C19" s="2">
        <v>6765</v>
      </c>
      <c r="D19" s="2" t="s">
        <v>56</v>
      </c>
      <c r="E19" s="5">
        <v>45</v>
      </c>
      <c r="F19" s="5">
        <v>62</v>
      </c>
      <c r="G19" s="5">
        <f>F19-E19</f>
        <v>17</v>
      </c>
      <c r="H19" s="9">
        <f>IF(F19&gt;50,G19*0.2,G19*0.1)</f>
        <v>3.4000000000000004</v>
      </c>
      <c r="I19" s="2" t="s">
        <v>57</v>
      </c>
      <c r="J19" s="2" t="s">
        <v>23</v>
      </c>
    </row>
    <row r="20" spans="1:10">
      <c r="A20" s="2" t="s">
        <v>53</v>
      </c>
      <c r="B20" s="2">
        <f>B19+1</f>
        <v>1018</v>
      </c>
      <c r="C20" s="2">
        <v>6755</v>
      </c>
      <c r="D20" s="2" t="s">
        <v>58</v>
      </c>
      <c r="E20" s="5">
        <v>78</v>
      </c>
      <c r="F20" s="5">
        <v>100</v>
      </c>
      <c r="G20" s="5">
        <f>F20-E20</f>
        <v>22</v>
      </c>
      <c r="H20" s="9">
        <f>IF(F20&gt;50,G20*0.2,G20*0.1)</f>
        <v>4.4000000000000004</v>
      </c>
      <c r="I20" s="2" t="s">
        <v>12</v>
      </c>
      <c r="J20" s="2" t="s">
        <v>23</v>
      </c>
    </row>
    <row r="21" spans="1:10">
      <c r="A21" s="2" t="s">
        <v>53</v>
      </c>
      <c r="B21" s="2">
        <f>B20+1</f>
        <v>1019</v>
      </c>
      <c r="C21" s="2">
        <v>6544</v>
      </c>
      <c r="D21" s="2" t="s">
        <v>59</v>
      </c>
      <c r="E21" s="5">
        <v>22</v>
      </c>
      <c r="F21" s="5">
        <v>30</v>
      </c>
      <c r="G21" s="5">
        <f>F21-E21</f>
        <v>8</v>
      </c>
      <c r="H21" s="9">
        <f>IF(F21&gt;50,G21*0.2,G21*0.1)</f>
        <v>0.8</v>
      </c>
      <c r="I21" s="2" t="s">
        <v>60</v>
      </c>
      <c r="J21" s="2" t="s">
        <v>23</v>
      </c>
    </row>
    <row r="22" spans="1:10">
      <c r="A22" s="2" t="s">
        <v>53</v>
      </c>
      <c r="B22" s="2">
        <f>B21+1</f>
        <v>1020</v>
      </c>
      <c r="C22" s="2">
        <v>6789</v>
      </c>
      <c r="D22" s="2" t="s">
        <v>61</v>
      </c>
      <c r="E22" s="5">
        <v>11</v>
      </c>
      <c r="F22" s="5">
        <v>23</v>
      </c>
      <c r="G22" s="5">
        <f>F22-E22</f>
        <v>12</v>
      </c>
      <c r="H22" s="9">
        <f>IF(F22&gt;50,G22*0.2,G22*0.1)</f>
        <v>1.2000000000000002</v>
      </c>
      <c r="I22" s="2" t="s">
        <v>62</v>
      </c>
      <c r="J22" s="2" t="s">
        <v>23</v>
      </c>
    </row>
    <row r="23" spans="1:10">
      <c r="A23" s="2" t="s">
        <v>53</v>
      </c>
      <c r="B23" s="2">
        <f>B22+1</f>
        <v>1021</v>
      </c>
      <c r="C23" s="2">
        <v>4453</v>
      </c>
      <c r="D23" s="2" t="s">
        <v>63</v>
      </c>
      <c r="E23" s="5">
        <v>23</v>
      </c>
      <c r="F23" s="5">
        <v>45</v>
      </c>
      <c r="G23" s="5">
        <f>F23-E23</f>
        <v>22</v>
      </c>
      <c r="H23" s="9">
        <f>IF(F23&gt;50,G23*0.2,G23*0.1)</f>
        <v>2.2000000000000002</v>
      </c>
      <c r="I23" s="2" t="s">
        <v>64</v>
      </c>
      <c r="J23" s="2" t="s">
        <v>23</v>
      </c>
    </row>
    <row r="24" spans="1:10">
      <c r="A24" s="2" t="s">
        <v>53</v>
      </c>
      <c r="B24" s="2">
        <f>B23+1</f>
        <v>1022</v>
      </c>
      <c r="C24" s="2">
        <v>4322</v>
      </c>
      <c r="D24" s="2" t="s">
        <v>65</v>
      </c>
      <c r="E24" s="5">
        <v>24</v>
      </c>
      <c r="F24" s="5">
        <v>41</v>
      </c>
      <c r="G24" s="5">
        <f>F24-E24</f>
        <v>17</v>
      </c>
      <c r="H24" s="9">
        <f>IF(F24&gt;50,G24*0.2,G24*0.1)</f>
        <v>1.7000000000000002</v>
      </c>
      <c r="I24" s="2" t="s">
        <v>66</v>
      </c>
      <c r="J24" s="2" t="s">
        <v>23</v>
      </c>
    </row>
    <row r="25" spans="1:10">
      <c r="A25" s="2" t="s">
        <v>53</v>
      </c>
      <c r="B25" s="2">
        <f>B24+1</f>
        <v>1023</v>
      </c>
      <c r="C25" s="2">
        <v>1243</v>
      </c>
      <c r="D25" s="2" t="s">
        <v>67</v>
      </c>
      <c r="E25" s="5">
        <v>54</v>
      </c>
      <c r="F25" s="5">
        <v>63</v>
      </c>
      <c r="G25" s="5">
        <f>F25-E25</f>
        <v>9</v>
      </c>
      <c r="H25" s="9">
        <f>IF(F25&gt;50,G25*0.2,G25*0.1)</f>
        <v>1.8</v>
      </c>
      <c r="I25" s="2" t="s">
        <v>68</v>
      </c>
      <c r="J25" s="2" t="s">
        <v>23</v>
      </c>
    </row>
    <row r="26" spans="1:10">
      <c r="A26" s="2" t="s">
        <v>53</v>
      </c>
      <c r="B26" s="2">
        <f>B25+1</f>
        <v>1024</v>
      </c>
      <c r="C26" s="2">
        <v>1564</v>
      </c>
      <c r="D26" s="2" t="s">
        <v>69</v>
      </c>
      <c r="E26" s="5">
        <v>43</v>
      </c>
      <c r="F26" s="5">
        <v>54</v>
      </c>
      <c r="G26" s="5">
        <f>F26-E26</f>
        <v>11</v>
      </c>
      <c r="H26" s="9">
        <f>IF(F26&gt;50,G26*0.2,G26*0.1)</f>
        <v>2.2000000000000002</v>
      </c>
      <c r="I26" s="2" t="s">
        <v>70</v>
      </c>
      <c r="J26" s="2" t="s">
        <v>23</v>
      </c>
    </row>
    <row r="27" spans="1:10">
      <c r="A27" s="2" t="s">
        <v>53</v>
      </c>
      <c r="B27" s="2">
        <f>B26+1</f>
        <v>1025</v>
      </c>
      <c r="C27" s="2">
        <v>1267</v>
      </c>
      <c r="D27" s="2" t="s">
        <v>71</v>
      </c>
      <c r="E27" s="5">
        <v>12</v>
      </c>
      <c r="F27" s="5">
        <v>24</v>
      </c>
      <c r="G27" s="5">
        <f>F27-E27</f>
        <v>12</v>
      </c>
      <c r="H27" s="9">
        <f>IF(F27&gt;50,G27*0.2,G27*0.1)</f>
        <v>1.2000000000000002</v>
      </c>
      <c r="I27" s="2" t="s">
        <v>72</v>
      </c>
      <c r="J27" s="2" t="s">
        <v>23</v>
      </c>
    </row>
    <row r="28" spans="1:10">
      <c r="A28" s="2" t="s">
        <v>53</v>
      </c>
      <c r="B28" s="2">
        <f>B27+1</f>
        <v>1026</v>
      </c>
      <c r="C28" s="2">
        <v>3444</v>
      </c>
      <c r="D28" s="2" t="s">
        <v>73</v>
      </c>
      <c r="E28" s="5">
        <v>4</v>
      </c>
      <c r="F28" s="5">
        <v>12</v>
      </c>
      <c r="G28" s="5">
        <f>F28-E28</f>
        <v>8</v>
      </c>
      <c r="H28" s="9">
        <f>IF(F28&gt;50,G28*0.2,G28*0.1)</f>
        <v>0.8</v>
      </c>
      <c r="I28" s="2" t="s">
        <v>74</v>
      </c>
      <c r="J28" s="2" t="s">
        <v>23</v>
      </c>
    </row>
    <row r="29" spans="1:10">
      <c r="A29" s="2" t="s">
        <v>53</v>
      </c>
      <c r="B29" s="2">
        <f>B28+1</f>
        <v>1027</v>
      </c>
      <c r="C29" s="2">
        <v>4556</v>
      </c>
      <c r="D29" s="2" t="s">
        <v>75</v>
      </c>
      <c r="E29" s="5">
        <v>58</v>
      </c>
      <c r="F29" s="5">
        <v>78</v>
      </c>
      <c r="G29" s="5">
        <f>F29-E29</f>
        <v>20</v>
      </c>
      <c r="H29" s="9">
        <f>IF(F29&gt;50,G29*0.2,G29*0.1)</f>
        <v>4</v>
      </c>
      <c r="I29" s="2" t="s">
        <v>76</v>
      </c>
      <c r="J29" s="2" t="s">
        <v>23</v>
      </c>
    </row>
    <row r="30" spans="1:10">
      <c r="A30" s="2" t="s">
        <v>53</v>
      </c>
      <c r="B30" s="2">
        <f>B29+1</f>
        <v>1028</v>
      </c>
      <c r="C30" s="2">
        <v>3455</v>
      </c>
      <c r="D30" s="2" t="s">
        <v>77</v>
      </c>
      <c r="E30" s="5">
        <v>90</v>
      </c>
      <c r="F30" s="5">
        <v>122</v>
      </c>
      <c r="G30" s="5">
        <f>F30-E30</f>
        <v>32</v>
      </c>
      <c r="H30" s="9">
        <f>IF(F30&gt;50,G30*0.2,G30*0.1)</f>
        <v>6.4</v>
      </c>
      <c r="I30" s="2" t="s">
        <v>78</v>
      </c>
      <c r="J30" s="2" t="s">
        <v>23</v>
      </c>
    </row>
    <row r="31" spans="1:10">
      <c r="A31" s="2" t="s">
        <v>53</v>
      </c>
      <c r="B31" s="2">
        <f>B30+1</f>
        <v>1029</v>
      </c>
      <c r="C31" s="2">
        <v>2234</v>
      </c>
      <c r="D31" s="2" t="s">
        <v>79</v>
      </c>
      <c r="E31" s="5">
        <v>100</v>
      </c>
      <c r="F31" s="5">
        <v>143</v>
      </c>
      <c r="G31" s="5">
        <f>F31-E31</f>
        <v>43</v>
      </c>
      <c r="H31" s="9">
        <f>IF(F31&gt;50,G31*0.2,G31*0.1)</f>
        <v>8.6</v>
      </c>
      <c r="I31" s="2" t="s">
        <v>80</v>
      </c>
      <c r="J31" s="2" t="s">
        <v>23</v>
      </c>
    </row>
    <row r="32" spans="1:10">
      <c r="A32" s="2" t="s">
        <v>53</v>
      </c>
      <c r="B32" s="2">
        <f>B31+1</f>
        <v>1030</v>
      </c>
      <c r="C32" s="2">
        <v>6678</v>
      </c>
      <c r="D32" s="2" t="s">
        <v>81</v>
      </c>
      <c r="E32" s="5">
        <v>12</v>
      </c>
      <c r="F32" s="5">
        <v>18</v>
      </c>
      <c r="G32" s="5">
        <f>F32-E32</f>
        <v>6</v>
      </c>
      <c r="H32" s="9">
        <f>IF(F32&gt;50,G32*0.2,G32*0.1)</f>
        <v>0.60000000000000009</v>
      </c>
      <c r="I32" s="2" t="s">
        <v>82</v>
      </c>
      <c r="J32" s="2" t="s">
        <v>23</v>
      </c>
    </row>
    <row r="33" spans="1:10">
      <c r="A33" s="2" t="s">
        <v>53</v>
      </c>
      <c r="B33" s="2">
        <f>B32+1</f>
        <v>1031</v>
      </c>
      <c r="C33" s="2">
        <v>6666</v>
      </c>
      <c r="D33" s="2" t="s">
        <v>83</v>
      </c>
      <c r="E33" s="5">
        <v>45</v>
      </c>
      <c r="F33" s="5">
        <v>56</v>
      </c>
      <c r="G33" s="5">
        <f>F33-E33</f>
        <v>11</v>
      </c>
      <c r="H33" s="9">
        <f>IF(F33&gt;50,G33*0.2,G33*0.1)</f>
        <v>2.2000000000000002</v>
      </c>
      <c r="I33" s="2" t="s">
        <v>29</v>
      </c>
      <c r="J33" s="2" t="s">
        <v>23</v>
      </c>
    </row>
    <row r="34" spans="1:10">
      <c r="A34" s="2" t="s">
        <v>53</v>
      </c>
      <c r="B34" s="2">
        <f>B33+1</f>
        <v>1032</v>
      </c>
      <c r="C34" s="2">
        <v>7777</v>
      </c>
      <c r="D34" s="2" t="s">
        <v>84</v>
      </c>
      <c r="E34" s="5">
        <v>1</v>
      </c>
      <c r="F34" s="5">
        <v>5</v>
      </c>
      <c r="G34" s="5">
        <f>F34-E34</f>
        <v>4</v>
      </c>
      <c r="H34" s="9">
        <f>IF(F34&gt;50,G34*0.2,G34*0.1)</f>
        <v>0.4</v>
      </c>
      <c r="I34" s="2" t="s">
        <v>42</v>
      </c>
      <c r="J34" s="2" t="s">
        <v>23</v>
      </c>
    </row>
    <row r="35" spans="1:10">
      <c r="A35" s="2" t="s">
        <v>85</v>
      </c>
      <c r="B35" s="2">
        <f>B34+1</f>
        <v>1033</v>
      </c>
      <c r="C35" s="2">
        <v>8888</v>
      </c>
      <c r="D35" s="2" t="s">
        <v>86</v>
      </c>
      <c r="E35" s="5">
        <v>3</v>
      </c>
      <c r="F35" s="5">
        <v>9</v>
      </c>
      <c r="G35" s="5">
        <f>F35-E35</f>
        <v>6</v>
      </c>
      <c r="H35" s="9">
        <f>IF(F35&gt;50,G35*0.2,G35*0.1)</f>
        <v>0.60000000000000009</v>
      </c>
      <c r="I35" s="2" t="s">
        <v>87</v>
      </c>
      <c r="J35" s="2" t="s">
        <v>23</v>
      </c>
    </row>
    <row r="36" spans="1:10">
      <c r="A36" s="2" t="s">
        <v>85</v>
      </c>
      <c r="B36" s="2">
        <f>B35+1</f>
        <v>1034</v>
      </c>
      <c r="C36" s="2">
        <v>6653</v>
      </c>
      <c r="D36" s="2" t="s">
        <v>88</v>
      </c>
      <c r="E36" s="5">
        <v>34</v>
      </c>
      <c r="F36" s="5">
        <v>50</v>
      </c>
      <c r="G36" s="5">
        <f>F36-E36</f>
        <v>16</v>
      </c>
      <c r="H36" s="9">
        <f>IF(F36&gt;50,G36*0.2,G36*0.1)</f>
        <v>1.6</v>
      </c>
      <c r="I36" s="2" t="s">
        <v>89</v>
      </c>
      <c r="J36" s="2" t="s">
        <v>23</v>
      </c>
    </row>
    <row r="37" spans="1:10">
      <c r="A37" s="2" t="s">
        <v>85</v>
      </c>
      <c r="B37" s="2">
        <f>B36+1</f>
        <v>1035</v>
      </c>
      <c r="C37" s="2">
        <v>4656</v>
      </c>
      <c r="D37" s="2" t="s">
        <v>90</v>
      </c>
      <c r="E37" s="5">
        <v>3</v>
      </c>
      <c r="F37" s="5">
        <v>5</v>
      </c>
      <c r="G37" s="5">
        <f>F37-E37</f>
        <v>2</v>
      </c>
      <c r="H37" s="9">
        <f>IF(F37&gt;50,G37*0.2,G37*0.1)</f>
        <v>0.2</v>
      </c>
      <c r="I37" s="2" t="s">
        <v>91</v>
      </c>
      <c r="J37" s="2" t="s">
        <v>23</v>
      </c>
    </row>
    <row r="38" spans="1:10">
      <c r="A38" s="2" t="s">
        <v>85</v>
      </c>
      <c r="B38" s="2">
        <f>B37+1</f>
        <v>1036</v>
      </c>
      <c r="C38" s="2">
        <v>5654</v>
      </c>
      <c r="D38" s="2" t="s">
        <v>92</v>
      </c>
      <c r="E38" s="5">
        <v>4</v>
      </c>
      <c r="F38" s="5">
        <v>15</v>
      </c>
      <c r="G38" s="5">
        <f>F38-E38</f>
        <v>11</v>
      </c>
      <c r="H38" s="9">
        <f>IF(F38&gt;50,G38*0.2,G38*0.1)</f>
        <v>1.1000000000000001</v>
      </c>
      <c r="I38" s="2" t="s">
        <v>93</v>
      </c>
      <c r="J38" s="2" t="s">
        <v>23</v>
      </c>
    </row>
    <row r="39" spans="1:10">
      <c r="A39" s="2" t="s">
        <v>85</v>
      </c>
      <c r="B39" s="2">
        <f>B38+1</f>
        <v>1037</v>
      </c>
      <c r="C39" s="2">
        <v>4556</v>
      </c>
      <c r="D39" s="2" t="s">
        <v>94</v>
      </c>
      <c r="E39" s="5">
        <v>6</v>
      </c>
      <c r="F39" s="5">
        <v>19</v>
      </c>
      <c r="G39" s="5">
        <f>F39-E39</f>
        <v>13</v>
      </c>
      <c r="H39" s="9">
        <f>IF(F39&gt;50,G39*0.2,G39*0.1)</f>
        <v>1.3</v>
      </c>
      <c r="I39" s="2" t="s">
        <v>95</v>
      </c>
      <c r="J39" s="2" t="s">
        <v>23</v>
      </c>
    </row>
    <row r="40" spans="1:10">
      <c r="A40" s="2" t="s">
        <v>85</v>
      </c>
      <c r="B40" s="2">
        <f>B39+1</f>
        <v>1038</v>
      </c>
      <c r="C40" s="2">
        <v>5655</v>
      </c>
      <c r="D40" s="2" t="s">
        <v>96</v>
      </c>
      <c r="E40" s="5">
        <v>7</v>
      </c>
      <c r="F40" s="5">
        <v>13</v>
      </c>
      <c r="G40" s="5">
        <f>F40-E40</f>
        <v>6</v>
      </c>
      <c r="H40" s="9">
        <f>IF(F40&gt;50,G40*0.2,G40*0.1)</f>
        <v>0.60000000000000009</v>
      </c>
      <c r="I40" s="2" t="s">
        <v>97</v>
      </c>
      <c r="J40" s="2" t="s">
        <v>23</v>
      </c>
    </row>
    <row r="41" spans="1:10">
      <c r="A41" s="2" t="s">
        <v>85</v>
      </c>
      <c r="B41" s="2">
        <f>B40+1</f>
        <v>1039</v>
      </c>
      <c r="C41" s="2">
        <v>4566</v>
      </c>
      <c r="D41" s="2" t="s">
        <v>98</v>
      </c>
      <c r="E41" s="5">
        <v>5</v>
      </c>
      <c r="F41" s="5">
        <v>14</v>
      </c>
      <c r="G41" s="5">
        <f>F41-E41</f>
        <v>9</v>
      </c>
      <c r="H41" s="9">
        <f>IF(F41&gt;50,G41*0.2,G41*0.1)</f>
        <v>0.9</v>
      </c>
      <c r="I41" s="2" t="s">
        <v>99</v>
      </c>
      <c r="J41" s="2" t="s">
        <v>23</v>
      </c>
    </row>
    <row r="42" spans="1:10">
      <c r="A42" s="2" t="s">
        <v>85</v>
      </c>
      <c r="B42" s="2">
        <f>B41+1</f>
        <v>1040</v>
      </c>
      <c r="C42" s="2">
        <v>4532</v>
      </c>
      <c r="D42" s="2" t="s">
        <v>100</v>
      </c>
      <c r="E42" s="5">
        <v>4</v>
      </c>
      <c r="F42" s="5">
        <v>13</v>
      </c>
      <c r="G42" s="5">
        <f>F42-E42</f>
        <v>9</v>
      </c>
      <c r="H42" s="9">
        <f>IF(F42&gt;50,G42*0.2,G42*0.1)</f>
        <v>0.9</v>
      </c>
      <c r="I42" s="2" t="s">
        <v>101</v>
      </c>
      <c r="J42" s="2" t="s">
        <v>23</v>
      </c>
    </row>
    <row r="43" spans="1:10">
      <c r="A43" s="2" t="s">
        <v>85</v>
      </c>
      <c r="B43" s="2">
        <f>B42+1</f>
        <v>1041</v>
      </c>
      <c r="C43" s="2">
        <v>3456</v>
      </c>
      <c r="D43" s="2" t="s">
        <v>102</v>
      </c>
      <c r="E43" s="5">
        <v>5</v>
      </c>
      <c r="F43" s="5">
        <v>12</v>
      </c>
      <c r="G43" s="5">
        <f>F43-E43</f>
        <v>7</v>
      </c>
      <c r="H43" s="9">
        <f>IF(F43&gt;50,G43*0.2,G43*0.1)</f>
        <v>0.70000000000000007</v>
      </c>
      <c r="I43" s="2" t="s">
        <v>103</v>
      </c>
      <c r="J43" s="2" t="s">
        <v>23</v>
      </c>
    </row>
    <row r="44" spans="1:10">
      <c r="A44" s="2" t="s">
        <v>85</v>
      </c>
      <c r="B44" s="2">
        <f>B43+1</f>
        <v>1042</v>
      </c>
      <c r="C44" s="2">
        <v>3456</v>
      </c>
      <c r="D44" s="2" t="s">
        <v>104</v>
      </c>
      <c r="E44" s="5">
        <v>4</v>
      </c>
      <c r="F44" s="5">
        <v>11</v>
      </c>
      <c r="G44" s="5">
        <f>F44-E44</f>
        <v>7</v>
      </c>
      <c r="H44" s="9">
        <f>IF(F44&gt;50,G44*0.2,G44*0.1)</f>
        <v>0.70000000000000007</v>
      </c>
      <c r="I44" s="2" t="s">
        <v>105</v>
      </c>
      <c r="J44" s="2" t="s">
        <v>23</v>
      </c>
    </row>
    <row r="45" spans="1:10">
      <c r="A45" s="2" t="s">
        <v>85</v>
      </c>
      <c r="B45" s="2">
        <f>B44+1</f>
        <v>1043</v>
      </c>
      <c r="C45" s="2">
        <v>4566</v>
      </c>
      <c r="D45" s="2" t="s">
        <v>106</v>
      </c>
      <c r="E45" s="5">
        <v>33</v>
      </c>
      <c r="F45" s="5">
        <v>56</v>
      </c>
      <c r="G45" s="5">
        <f>F45-E45</f>
        <v>23</v>
      </c>
      <c r="H45" s="9">
        <f>IF(F45&gt;50,G45*0.2,G45*0.1)</f>
        <v>4.6000000000000005</v>
      </c>
      <c r="I45" s="2" t="s">
        <v>107</v>
      </c>
      <c r="J45" s="2" t="s">
        <v>23</v>
      </c>
    </row>
    <row r="46" spans="1:10">
      <c r="A46" s="2" t="s">
        <v>85</v>
      </c>
      <c r="B46" s="2">
        <f>B45+1</f>
        <v>1044</v>
      </c>
      <c r="C46" s="2">
        <v>5454</v>
      </c>
      <c r="D46" s="2" t="s">
        <v>108</v>
      </c>
      <c r="E46" s="5">
        <v>44</v>
      </c>
      <c r="F46" s="5">
        <v>56</v>
      </c>
      <c r="G46" s="5">
        <f>F46-E46</f>
        <v>12</v>
      </c>
      <c r="H46" s="9">
        <f>IF(F46&gt;50,G46*0.2,G46*0.1)</f>
        <v>2.4000000000000004</v>
      </c>
      <c r="I46" s="2" t="s">
        <v>109</v>
      </c>
      <c r="J46" s="2" t="s">
        <v>23</v>
      </c>
    </row>
    <row r="47" spans="1:10">
      <c r="A47" s="2" t="s">
        <v>85</v>
      </c>
      <c r="B47" s="2">
        <f>B46+1</f>
        <v>1045</v>
      </c>
      <c r="C47" s="2">
        <v>4566</v>
      </c>
      <c r="D47" s="2" t="s">
        <v>110</v>
      </c>
      <c r="E47" s="5">
        <v>67</v>
      </c>
      <c r="F47" s="5">
        <v>81</v>
      </c>
      <c r="G47" s="5">
        <f>F47-E47</f>
        <v>14</v>
      </c>
      <c r="H47" s="9">
        <f>IF(F47&gt;50,G47*0.2,G47*0.1)</f>
        <v>2.8000000000000003</v>
      </c>
      <c r="I47" s="2" t="s">
        <v>111</v>
      </c>
      <c r="J47" s="2" t="s">
        <v>23</v>
      </c>
    </row>
    <row r="48" spans="1:10">
      <c r="A48" s="2" t="s">
        <v>85</v>
      </c>
      <c r="B48" s="2">
        <f>B47+1</f>
        <v>1046</v>
      </c>
      <c r="C48" s="2">
        <v>4554</v>
      </c>
      <c r="D48" s="2" t="s">
        <v>112</v>
      </c>
      <c r="E48" s="5">
        <v>65</v>
      </c>
      <c r="F48" s="5">
        <v>79</v>
      </c>
      <c r="G48" s="5">
        <f>F48-E48</f>
        <v>14</v>
      </c>
      <c r="H48" s="9">
        <f>IF(F48&gt;50,G48*0.2,G48*0.1)</f>
        <v>2.8000000000000003</v>
      </c>
      <c r="I48" s="2" t="s">
        <v>111</v>
      </c>
      <c r="J48" s="2" t="s">
        <v>23</v>
      </c>
    </row>
    <row r="49" spans="1:10">
      <c r="A49" s="2" t="s">
        <v>85</v>
      </c>
      <c r="B49" s="2">
        <f>B48+1</f>
        <v>1047</v>
      </c>
      <c r="C49" s="2">
        <v>3456</v>
      </c>
      <c r="D49" s="2" t="s">
        <v>113</v>
      </c>
      <c r="E49" s="5">
        <v>45</v>
      </c>
      <c r="F49" s="5">
        <v>52</v>
      </c>
      <c r="G49" s="5">
        <f>F49-E49</f>
        <v>7</v>
      </c>
      <c r="H49" s="9">
        <f>IF(F49&gt;50,G49*0.2,G49*0.1)</f>
        <v>1.4000000000000001</v>
      </c>
      <c r="I49" s="2" t="s">
        <v>114</v>
      </c>
      <c r="J49" s="2" t="s">
        <v>23</v>
      </c>
    </row>
    <row r="50" spans="1:10">
      <c r="A50" s="2" t="s">
        <v>85</v>
      </c>
      <c r="B50" s="2">
        <f>B49+1</f>
        <v>1048</v>
      </c>
      <c r="C50" s="2">
        <v>4544</v>
      </c>
      <c r="D50" s="2" t="s">
        <v>115</v>
      </c>
      <c r="E50" s="5">
        <v>655</v>
      </c>
      <c r="F50" s="5">
        <v>800</v>
      </c>
      <c r="G50" s="5">
        <f>F50-E50</f>
        <v>145</v>
      </c>
      <c r="H50" s="9">
        <f>IF(F50&gt;50,G50*0.2,G50*0.1)</f>
        <v>29</v>
      </c>
      <c r="I50" s="2" t="s">
        <v>116</v>
      </c>
      <c r="J50" s="2" t="s">
        <v>23</v>
      </c>
    </row>
    <row r="51" spans="1:10">
      <c r="A51" s="2" t="s">
        <v>85</v>
      </c>
      <c r="B51" s="2">
        <f>B50+1</f>
        <v>1049</v>
      </c>
      <c r="C51" s="2">
        <v>4532</v>
      </c>
      <c r="D51" s="2" t="s">
        <v>117</v>
      </c>
      <c r="E51" s="5">
        <v>99</v>
      </c>
      <c r="F51" s="5">
        <v>160</v>
      </c>
      <c r="G51" s="5">
        <f>F51-E51</f>
        <v>61</v>
      </c>
      <c r="H51" s="9">
        <f>IF(F51&gt;50,G51*0.2,G51*0.1)</f>
        <v>12.200000000000001</v>
      </c>
      <c r="I51" s="2" t="s">
        <v>118</v>
      </c>
      <c r="J51" s="2" t="s">
        <v>23</v>
      </c>
    </row>
    <row r="52" spans="1:10">
      <c r="A52" s="2" t="s">
        <v>85</v>
      </c>
      <c r="B52" s="2">
        <f>B51+1</f>
        <v>1050</v>
      </c>
      <c r="C52" s="2">
        <v>3456</v>
      </c>
      <c r="D52" s="2" t="s">
        <v>119</v>
      </c>
      <c r="E52" s="5">
        <v>97</v>
      </c>
      <c r="F52" s="5">
        <v>180</v>
      </c>
      <c r="G52" s="5">
        <f>F52-E52</f>
        <v>83</v>
      </c>
      <c r="H52" s="9">
        <f>IF(F52&gt;50,G52*0.2,G52*0.1)</f>
        <v>16.600000000000001</v>
      </c>
      <c r="I52" s="2" t="s">
        <v>120</v>
      </c>
      <c r="J52" s="2" t="s">
        <v>23</v>
      </c>
    </row>
    <row r="53" spans="1:10">
      <c r="A53" s="2" t="s">
        <v>121</v>
      </c>
      <c r="B53" s="2">
        <f>B52+1</f>
        <v>1051</v>
      </c>
      <c r="C53" s="2">
        <v>5775</v>
      </c>
      <c r="D53" s="2" t="s">
        <v>122</v>
      </c>
      <c r="E53" s="5">
        <v>86</v>
      </c>
      <c r="F53" s="5">
        <v>114</v>
      </c>
      <c r="G53" s="5">
        <f>F53-E53</f>
        <v>28</v>
      </c>
      <c r="H53" s="9">
        <f>IF(F53&gt;50,G53*0.2,G53*0.1)</f>
        <v>5.6000000000000005</v>
      </c>
      <c r="I53" s="2" t="s">
        <v>123</v>
      </c>
      <c r="J53" s="2" t="s">
        <v>23</v>
      </c>
    </row>
    <row r="54" spans="1:10">
      <c r="A54" s="2" t="s">
        <v>121</v>
      </c>
      <c r="B54" s="2">
        <f>B53+1</f>
        <v>1052</v>
      </c>
      <c r="C54" s="2">
        <v>6567</v>
      </c>
      <c r="D54" s="2" t="s">
        <v>124</v>
      </c>
      <c r="E54" s="5">
        <v>89</v>
      </c>
      <c r="F54" s="5">
        <v>124</v>
      </c>
      <c r="G54" s="5">
        <f>F54-E54</f>
        <v>35</v>
      </c>
      <c r="H54" s="9">
        <f>IF(F54&gt;50,G54*0.2,G54*0.1)</f>
        <v>7</v>
      </c>
      <c r="I54" s="2" t="s">
        <v>125</v>
      </c>
      <c r="J54" s="2" t="s">
        <v>23</v>
      </c>
    </row>
    <row r="55" spans="1:10">
      <c r="A55" s="2" t="s">
        <v>121</v>
      </c>
      <c r="B55" s="2">
        <f>B54+1</f>
        <v>1053</v>
      </c>
      <c r="C55" s="2">
        <v>8765</v>
      </c>
      <c r="D55" s="2" t="s">
        <v>126</v>
      </c>
      <c r="E55" s="5">
        <v>88</v>
      </c>
      <c r="F55" s="5">
        <v>110</v>
      </c>
      <c r="G55" s="5">
        <f>F55-E55</f>
        <v>22</v>
      </c>
      <c r="H55" s="9">
        <f>IF(F55&gt;50,G55*0.2,G55*0.1)</f>
        <v>4.4000000000000004</v>
      </c>
      <c r="I55" s="2" t="s">
        <v>127</v>
      </c>
      <c r="J55" s="2" t="s">
        <v>23</v>
      </c>
    </row>
    <row r="56" spans="1:10">
      <c r="A56" s="2" t="s">
        <v>121</v>
      </c>
      <c r="B56" s="2">
        <f>B55+1</f>
        <v>1054</v>
      </c>
      <c r="C56" s="2">
        <v>6778</v>
      </c>
      <c r="D56" s="2" t="s">
        <v>128</v>
      </c>
      <c r="E56" s="5">
        <v>55</v>
      </c>
      <c r="F56" s="5">
        <v>100</v>
      </c>
      <c r="G56" s="5">
        <f>F56-E56</f>
        <v>45</v>
      </c>
      <c r="H56" s="9">
        <f>IF(F56&gt;50,G56*0.2,G56*0.1)</f>
        <v>9</v>
      </c>
      <c r="I56" s="2" t="s">
        <v>129</v>
      </c>
      <c r="J56" s="2" t="s">
        <v>23</v>
      </c>
    </row>
    <row r="57" spans="1:10">
      <c r="A57" s="2" t="s">
        <v>121</v>
      </c>
      <c r="B57" s="2">
        <f>B56+1</f>
        <v>1055</v>
      </c>
      <c r="C57" s="2">
        <v>6765</v>
      </c>
      <c r="D57" s="2" t="s">
        <v>130</v>
      </c>
      <c r="E57" s="5">
        <v>778</v>
      </c>
      <c r="F57" s="5">
        <v>950</v>
      </c>
      <c r="G57" s="5">
        <f>F57-E57</f>
        <v>172</v>
      </c>
      <c r="H57" s="9">
        <f>IF(F57&gt;50,G57*0.2,G57*0.1)</f>
        <v>34.4</v>
      </c>
      <c r="I57" s="2" t="s">
        <v>131</v>
      </c>
      <c r="J57" s="2" t="s">
        <v>23</v>
      </c>
    </row>
    <row r="58" spans="1:10">
      <c r="A58" s="2" t="s">
        <v>121</v>
      </c>
      <c r="B58" s="2">
        <f>B57+1</f>
        <v>1056</v>
      </c>
      <c r="C58" s="2">
        <v>5665</v>
      </c>
      <c r="D58" s="2" t="s">
        <v>132</v>
      </c>
      <c r="E58" s="5">
        <v>88</v>
      </c>
      <c r="F58" s="5">
        <v>121</v>
      </c>
      <c r="G58" s="5">
        <f>F58-E58</f>
        <v>33</v>
      </c>
      <c r="H58" s="9">
        <f>IF(F58&gt;50,G58*0.2,G58*0.1)</f>
        <v>6.6000000000000005</v>
      </c>
      <c r="I58" s="2" t="s">
        <v>133</v>
      </c>
      <c r="J58" s="2" t="s">
        <v>23</v>
      </c>
    </row>
    <row r="59" spans="1:10">
      <c r="A59" s="2" t="s">
        <v>121</v>
      </c>
      <c r="B59" s="2">
        <f>B58+1</f>
        <v>1057</v>
      </c>
      <c r="C59" s="2">
        <v>4445</v>
      </c>
      <c r="D59" s="2" t="s">
        <v>134</v>
      </c>
      <c r="E59" s="5">
        <v>99</v>
      </c>
      <c r="F59" s="5">
        <v>132</v>
      </c>
      <c r="G59" s="5">
        <f>F59-E59</f>
        <v>33</v>
      </c>
      <c r="H59" s="9">
        <f>IF(F59&gt;50,G59*0.2,G59*0.1)</f>
        <v>6.6000000000000005</v>
      </c>
      <c r="I59" s="2" t="s">
        <v>12</v>
      </c>
      <c r="J59" s="2" t="s">
        <v>23</v>
      </c>
    </row>
    <row r="60" spans="1:10">
      <c r="A60" s="2" t="s">
        <v>121</v>
      </c>
      <c r="B60" s="2">
        <f>B59+1</f>
        <v>1058</v>
      </c>
      <c r="C60" s="2">
        <v>3445</v>
      </c>
      <c r="D60" s="2" t="s">
        <v>135</v>
      </c>
      <c r="E60" s="5">
        <v>345</v>
      </c>
      <c r="F60" s="5">
        <v>500</v>
      </c>
      <c r="G60" s="5">
        <f>F60-E60</f>
        <v>155</v>
      </c>
      <c r="H60" s="9">
        <f>IF(F60&gt;50,G60*0.2,G60*0.1)</f>
        <v>31</v>
      </c>
      <c r="I60" s="2" t="s">
        <v>136</v>
      </c>
      <c r="J60" s="2" t="s">
        <v>23</v>
      </c>
    </row>
    <row r="61" spans="1:10">
      <c r="A61" s="2" t="s">
        <v>121</v>
      </c>
      <c r="B61" s="2">
        <f>B60+1</f>
        <v>1059</v>
      </c>
      <c r="C61" s="2">
        <v>4553</v>
      </c>
      <c r="D61" s="2" t="s">
        <v>137</v>
      </c>
      <c r="E61" s="5">
        <v>654</v>
      </c>
      <c r="F61" s="5">
        <v>700</v>
      </c>
      <c r="G61" s="5">
        <f>F61-E61</f>
        <v>46</v>
      </c>
      <c r="H61" s="9">
        <f>IF(F61&gt;50,G61*0.2,G61*0.1)</f>
        <v>9.2000000000000011</v>
      </c>
      <c r="I61" s="2" t="s">
        <v>12</v>
      </c>
      <c r="J61" s="2" t="s">
        <v>23</v>
      </c>
    </row>
    <row r="62" spans="1:10">
      <c r="A62" s="2" t="s">
        <v>121</v>
      </c>
      <c r="B62" s="2">
        <f>B61+1</f>
        <v>1060</v>
      </c>
      <c r="C62" s="2">
        <v>2231</v>
      </c>
      <c r="D62" s="2" t="s">
        <v>138</v>
      </c>
      <c r="E62" s="5">
        <v>687</v>
      </c>
      <c r="F62" s="5">
        <v>900</v>
      </c>
      <c r="G62" s="5">
        <f>F62-E62</f>
        <v>213</v>
      </c>
      <c r="H62" s="9">
        <f>IF(F62&gt;50,G62*0.2,G62*0.1)</f>
        <v>42.6</v>
      </c>
      <c r="I62" s="2" t="s">
        <v>139</v>
      </c>
      <c r="J62" s="2" t="s">
        <v>23</v>
      </c>
    </row>
    <row r="63" spans="1:10">
      <c r="A63" s="2" t="s">
        <v>121</v>
      </c>
      <c r="B63" s="2">
        <f>B62+1</f>
        <v>1061</v>
      </c>
      <c r="C63" s="2">
        <v>2212</v>
      </c>
      <c r="D63" s="2" t="s">
        <v>140</v>
      </c>
      <c r="E63" s="5">
        <v>897</v>
      </c>
      <c r="F63" s="5">
        <v>1000</v>
      </c>
      <c r="G63" s="5">
        <f>F63-E63</f>
        <v>103</v>
      </c>
      <c r="H63" s="9">
        <f>IF(F63&gt;50,G63*0.2,G63*0.1)</f>
        <v>20.6</v>
      </c>
      <c r="I63" s="2" t="s">
        <v>141</v>
      </c>
      <c r="J63" s="2" t="s">
        <v>23</v>
      </c>
    </row>
    <row r="64" spans="1:10">
      <c r="A64" s="2" t="s">
        <v>121</v>
      </c>
      <c r="B64" s="2">
        <f>B63+1</f>
        <v>1062</v>
      </c>
      <c r="C64" s="2">
        <v>1342</v>
      </c>
      <c r="D64" s="2" t="s">
        <v>142</v>
      </c>
      <c r="E64" s="5">
        <v>765</v>
      </c>
      <c r="F64" s="5">
        <v>850</v>
      </c>
      <c r="G64" s="5">
        <f>F64-E64</f>
        <v>85</v>
      </c>
      <c r="H64" s="9">
        <f>IF(F64&gt;50,G64*0.2,G64*0.1)</f>
        <v>17</v>
      </c>
      <c r="I64" s="2" t="s">
        <v>143</v>
      </c>
      <c r="J64" s="2" t="s">
        <v>23</v>
      </c>
    </row>
    <row r="65" spans="1:10">
      <c r="A65" s="2" t="s">
        <v>121</v>
      </c>
      <c r="B65" s="2">
        <f>B64+1</f>
        <v>1063</v>
      </c>
      <c r="C65" s="2">
        <v>3456</v>
      </c>
      <c r="D65" s="2" t="s">
        <v>144</v>
      </c>
      <c r="E65" s="5">
        <v>654</v>
      </c>
      <c r="F65" s="5">
        <v>790</v>
      </c>
      <c r="G65" s="5">
        <f>F65-E65</f>
        <v>136</v>
      </c>
      <c r="H65" s="9">
        <f>IF(F65&gt;50,G65*0.2,G65*0.1)</f>
        <v>27.200000000000003</v>
      </c>
      <c r="I65" s="2" t="s">
        <v>145</v>
      </c>
      <c r="J65" s="2" t="s">
        <v>23</v>
      </c>
    </row>
    <row r="66" spans="1:10">
      <c r="A66" s="2" t="s">
        <v>121</v>
      </c>
      <c r="B66" s="2">
        <f>B65+1</f>
        <v>1064</v>
      </c>
      <c r="C66" s="2">
        <v>4566</v>
      </c>
      <c r="D66" s="2" t="s">
        <v>146</v>
      </c>
      <c r="E66" s="5">
        <v>567</v>
      </c>
      <c r="F66" s="5">
        <v>625</v>
      </c>
      <c r="G66" s="5">
        <f>F66-E66</f>
        <v>58</v>
      </c>
      <c r="H66" s="9">
        <f>IF(F66&gt;50,G66*0.2,G66*0.1)</f>
        <v>11.600000000000001</v>
      </c>
      <c r="I66" s="2" t="s">
        <v>147</v>
      </c>
      <c r="J66" s="2" t="s">
        <v>23</v>
      </c>
    </row>
    <row r="67" spans="1:10">
      <c r="A67" s="2" t="s">
        <v>121</v>
      </c>
      <c r="B67" s="2">
        <f>B66+1</f>
        <v>1065</v>
      </c>
      <c r="C67" s="2">
        <v>4554</v>
      </c>
      <c r="D67" s="2" t="s">
        <v>148</v>
      </c>
      <c r="E67" s="5">
        <v>667</v>
      </c>
      <c r="F67" s="5">
        <v>725</v>
      </c>
      <c r="G67" s="5">
        <f>F67-E67</f>
        <v>58</v>
      </c>
      <c r="H67" s="9">
        <f>IF(F67&gt;50,G67*0.2,G67*0.1)</f>
        <v>11.600000000000001</v>
      </c>
      <c r="I67" s="2" t="s">
        <v>149</v>
      </c>
      <c r="J67" s="2" t="s">
        <v>23</v>
      </c>
    </row>
    <row r="68" spans="1:10">
      <c r="A68" s="2" t="s">
        <v>121</v>
      </c>
      <c r="B68" s="2">
        <f>B67+1</f>
        <v>1066</v>
      </c>
      <c r="C68" s="2">
        <v>5677</v>
      </c>
      <c r="D68" s="2" t="s">
        <v>150</v>
      </c>
      <c r="E68" s="5">
        <v>21</v>
      </c>
      <c r="F68" s="5">
        <v>30</v>
      </c>
      <c r="G68" s="5">
        <f>F68-E68</f>
        <v>9</v>
      </c>
      <c r="H68" s="9">
        <f>IF(F68&gt;50,G68*0.2,G68*0.1)</f>
        <v>0.9</v>
      </c>
      <c r="I68" s="2" t="s">
        <v>151</v>
      </c>
      <c r="J68" s="2" t="s">
        <v>23</v>
      </c>
    </row>
    <row r="69" spans="1:10">
      <c r="A69" s="2" t="s">
        <v>121</v>
      </c>
      <c r="B69" s="2">
        <f>B68+1</f>
        <v>1067</v>
      </c>
      <c r="C69" s="2">
        <v>7897</v>
      </c>
      <c r="D69" s="2" t="s">
        <v>152</v>
      </c>
      <c r="E69" s="5">
        <v>23</v>
      </c>
      <c r="F69" s="5">
        <v>35</v>
      </c>
      <c r="G69" s="5">
        <f>F69-E69</f>
        <v>12</v>
      </c>
      <c r="H69" s="9">
        <f>IF(F69&gt;50,G69*0.2,G69*0.1)</f>
        <v>1.2000000000000002</v>
      </c>
      <c r="I69" s="2" t="s">
        <v>153</v>
      </c>
      <c r="J69" s="2" t="s">
        <v>23</v>
      </c>
    </row>
    <row r="70" spans="1:10">
      <c r="A70" s="2" t="s">
        <v>154</v>
      </c>
      <c r="B70" s="2">
        <f>B69+1</f>
        <v>1068</v>
      </c>
      <c r="C70" s="2">
        <v>9876</v>
      </c>
      <c r="D70" s="2" t="s">
        <v>155</v>
      </c>
      <c r="E70" s="5">
        <v>2</v>
      </c>
      <c r="F70" s="5">
        <v>6</v>
      </c>
      <c r="G70" s="5">
        <f>F70-E70</f>
        <v>4</v>
      </c>
      <c r="H70" s="9">
        <f>IF(F70&gt;50,G70*0.2,G70*0.1)</f>
        <v>0.4</v>
      </c>
      <c r="I70" s="2" t="s">
        <v>156</v>
      </c>
      <c r="J70" s="2" t="s">
        <v>23</v>
      </c>
    </row>
    <row r="71" spans="1:10">
      <c r="A71" s="2" t="s">
        <v>154</v>
      </c>
      <c r="B71" s="2">
        <f>B70+1</f>
        <v>1069</v>
      </c>
      <c r="C71" s="2">
        <v>9809</v>
      </c>
      <c r="D71" s="2" t="s">
        <v>157</v>
      </c>
      <c r="E71" s="5">
        <v>14</v>
      </c>
      <c r="F71" s="5">
        <v>23</v>
      </c>
      <c r="G71" s="5">
        <f>F71-E71</f>
        <v>9</v>
      </c>
      <c r="H71" s="9">
        <f>IF(F71&gt;50,G71*0.2,G71*0.1)</f>
        <v>0.9</v>
      </c>
      <c r="I71" s="2" t="s">
        <v>158</v>
      </c>
      <c r="J71" s="2" t="s">
        <v>23</v>
      </c>
    </row>
    <row r="72" spans="1:10">
      <c r="A72" s="2" t="s">
        <v>154</v>
      </c>
      <c r="B72" s="2">
        <f>B71+1</f>
        <v>1070</v>
      </c>
      <c r="C72" s="2">
        <v>9807</v>
      </c>
      <c r="D72" s="2" t="s">
        <v>159</v>
      </c>
      <c r="E72" s="5">
        <v>56</v>
      </c>
      <c r="F72" s="5">
        <v>70</v>
      </c>
      <c r="G72" s="5">
        <f>F72-E72</f>
        <v>14</v>
      </c>
      <c r="H72" s="9">
        <f>IF(F72&gt;50,G72*0.2,G72*0.1)</f>
        <v>2.8000000000000003</v>
      </c>
      <c r="I72" s="2" t="s">
        <v>160</v>
      </c>
      <c r="J72" s="2" t="s">
        <v>23</v>
      </c>
    </row>
    <row r="73" spans="1:10">
      <c r="A73" s="2" t="s">
        <v>154</v>
      </c>
      <c r="B73" s="2">
        <f>B72+1</f>
        <v>1071</v>
      </c>
      <c r="C73" s="2">
        <v>8098</v>
      </c>
      <c r="D73" s="2" t="s">
        <v>161</v>
      </c>
      <c r="E73" s="5">
        <v>76</v>
      </c>
      <c r="F73" s="5">
        <v>100</v>
      </c>
      <c r="G73" s="5">
        <f>F73-E73</f>
        <v>24</v>
      </c>
      <c r="H73" s="9">
        <f>IF(F73&gt;50,G73*0.2,G73*0.1)</f>
        <v>4.8000000000000007</v>
      </c>
      <c r="I73" s="2" t="s">
        <v>162</v>
      </c>
      <c r="J73" s="2" t="s">
        <v>23</v>
      </c>
    </row>
    <row r="74" spans="1:10">
      <c r="A74" s="2" t="s">
        <v>154</v>
      </c>
      <c r="B74" s="2">
        <f>B73+1</f>
        <v>1072</v>
      </c>
      <c r="C74" s="2">
        <v>7890</v>
      </c>
      <c r="D74" s="2" t="s">
        <v>163</v>
      </c>
      <c r="E74" s="5">
        <v>54</v>
      </c>
      <c r="F74" s="5">
        <v>81</v>
      </c>
      <c r="G74" s="5">
        <f>F74-E74</f>
        <v>27</v>
      </c>
      <c r="H74" s="9">
        <f>IF(F74&gt;50,G74*0.2,G74*0.1)</f>
        <v>5.4</v>
      </c>
      <c r="I74" s="2" t="s">
        <v>164</v>
      </c>
      <c r="J74" s="2" t="s">
        <v>23</v>
      </c>
    </row>
    <row r="75" spans="1:10">
      <c r="A75" s="2" t="s">
        <v>154</v>
      </c>
      <c r="B75" s="2">
        <f>B74+1</f>
        <v>1073</v>
      </c>
      <c r="C75" s="2">
        <v>8765</v>
      </c>
      <c r="D75" s="2" t="s">
        <v>165</v>
      </c>
      <c r="E75" s="5">
        <v>32</v>
      </c>
      <c r="F75" s="5">
        <v>45</v>
      </c>
      <c r="G75" s="5">
        <f>F75-E75</f>
        <v>13</v>
      </c>
      <c r="H75" s="9">
        <f>IF(F75&gt;50,G75*0.2,G75*0.1)</f>
        <v>1.3</v>
      </c>
      <c r="I75" s="2" t="s">
        <v>166</v>
      </c>
      <c r="J75" s="2" t="s">
        <v>23</v>
      </c>
    </row>
    <row r="76" spans="1:10">
      <c r="A76" s="2" t="s">
        <v>154</v>
      </c>
      <c r="B76" s="2">
        <f>B75+1</f>
        <v>1074</v>
      </c>
      <c r="C76" s="2">
        <v>7898</v>
      </c>
      <c r="D76" s="2" t="s">
        <v>167</v>
      </c>
      <c r="E76" s="5">
        <v>23</v>
      </c>
      <c r="F76" s="5">
        <v>34</v>
      </c>
      <c r="G76" s="5">
        <f>F76-E76</f>
        <v>11</v>
      </c>
      <c r="H76" s="9">
        <f>IF(F76&gt;50,G76*0.2,G76*0.1)</f>
        <v>1.1000000000000001</v>
      </c>
      <c r="I76" s="2" t="s">
        <v>168</v>
      </c>
      <c r="J76" s="2" t="s">
        <v>23</v>
      </c>
    </row>
    <row r="77" spans="1:10">
      <c r="A77" s="2" t="s">
        <v>154</v>
      </c>
      <c r="B77" s="2">
        <f>B76+1</f>
        <v>1075</v>
      </c>
      <c r="C77" s="2">
        <v>8766</v>
      </c>
      <c r="D77" s="2" t="s">
        <v>169</v>
      </c>
      <c r="E77" s="5">
        <v>3</v>
      </c>
      <c r="F77" s="5">
        <v>10</v>
      </c>
      <c r="G77" s="5">
        <f>F77-E77</f>
        <v>7</v>
      </c>
      <c r="H77" s="9">
        <f>IF(F77&gt;50,G77*0.2,G77*0.1)</f>
        <v>0.70000000000000007</v>
      </c>
      <c r="I77" s="2" t="s">
        <v>170</v>
      </c>
      <c r="J77" s="2" t="s">
        <v>23</v>
      </c>
    </row>
    <row r="78" spans="1:10">
      <c r="A78" s="2" t="s">
        <v>154</v>
      </c>
      <c r="B78" s="2">
        <f>B77+1</f>
        <v>1076</v>
      </c>
      <c r="C78" s="2">
        <v>8643</v>
      </c>
      <c r="D78" s="2" t="s">
        <v>171</v>
      </c>
      <c r="E78" s="5">
        <v>2</v>
      </c>
      <c r="F78" s="5">
        <v>21</v>
      </c>
      <c r="G78" s="5">
        <f>F78-E78</f>
        <v>19</v>
      </c>
      <c r="H78" s="9">
        <f>IF(F78&gt;50,G78*0.2,G78*0.1)</f>
        <v>1.9000000000000001</v>
      </c>
      <c r="I78" s="2" t="s">
        <v>52</v>
      </c>
      <c r="J78" s="2" t="s">
        <v>23</v>
      </c>
    </row>
    <row r="79" spans="1:10">
      <c r="A79" s="2" t="s">
        <v>154</v>
      </c>
      <c r="B79" s="2">
        <f>B78+1</f>
        <v>1077</v>
      </c>
      <c r="C79" s="2">
        <v>5367</v>
      </c>
      <c r="D79" s="2" t="s">
        <v>172</v>
      </c>
      <c r="E79" s="5">
        <v>45</v>
      </c>
      <c r="F79" s="5">
        <v>67</v>
      </c>
      <c r="G79" s="5">
        <f>F79-E79</f>
        <v>22</v>
      </c>
      <c r="H79" s="9">
        <f>IF(F79&gt;50,G79*0.2,G79*0.1)</f>
        <v>4.4000000000000004</v>
      </c>
      <c r="I79" s="2" t="s">
        <v>173</v>
      </c>
      <c r="J79" s="2" t="s">
        <v>23</v>
      </c>
    </row>
    <row r="80" spans="1:10">
      <c r="A80" s="2" t="s">
        <v>154</v>
      </c>
      <c r="B80" s="2">
        <f>B79+1</f>
        <v>1078</v>
      </c>
      <c r="C80" s="2">
        <v>5864</v>
      </c>
      <c r="D80" s="2" t="s">
        <v>174</v>
      </c>
      <c r="E80" s="5">
        <v>12</v>
      </c>
      <c r="F80" s="5">
        <v>54</v>
      </c>
      <c r="G80" s="5">
        <f>F80-E80</f>
        <v>42</v>
      </c>
      <c r="H80" s="9">
        <f>IF(F80&gt;50,G80*0.2,G80*0.1)</f>
        <v>8.4</v>
      </c>
      <c r="I80" s="2" t="s">
        <v>175</v>
      </c>
      <c r="J80" s="2" t="s">
        <v>23</v>
      </c>
    </row>
    <row r="81" spans="1:10">
      <c r="A81" s="2" t="s">
        <v>154</v>
      </c>
      <c r="B81" s="2">
        <f>B80+1</f>
        <v>1079</v>
      </c>
      <c r="C81" s="2">
        <v>5679</v>
      </c>
      <c r="D81" s="2" t="s">
        <v>176</v>
      </c>
      <c r="E81" s="5">
        <v>44</v>
      </c>
      <c r="F81" s="5">
        <v>32</v>
      </c>
      <c r="G81" s="5">
        <f>F81-E81</f>
        <v>-12</v>
      </c>
      <c r="H81" s="9">
        <f>IF(F81&gt;50,G81*0.2,G81*0.1)</f>
        <v>-1.2000000000000002</v>
      </c>
      <c r="I81" s="2" t="s">
        <v>177</v>
      </c>
      <c r="J81" s="2" t="s">
        <v>23</v>
      </c>
    </row>
    <row r="82" spans="1:10">
      <c r="A82" s="2" t="s">
        <v>154</v>
      </c>
      <c r="B82" s="2">
        <f>B81+1</f>
        <v>1080</v>
      </c>
      <c r="C82" s="2">
        <v>6789</v>
      </c>
      <c r="D82" s="2" t="s">
        <v>178</v>
      </c>
      <c r="E82" s="5">
        <v>432</v>
      </c>
      <c r="F82" s="5">
        <v>500</v>
      </c>
      <c r="G82" s="5">
        <f>F82-E82</f>
        <v>68</v>
      </c>
      <c r="H82" s="9">
        <f>IF(F82&gt;50,G82*0.2,G82*0.1)</f>
        <v>13.600000000000001</v>
      </c>
      <c r="I82" s="2" t="s">
        <v>179</v>
      </c>
      <c r="J82" s="2" t="s">
        <v>23</v>
      </c>
    </row>
    <row r="83" spans="1:10">
      <c r="A83" s="2" t="s">
        <v>154</v>
      </c>
      <c r="B83" s="2">
        <f>B82+1</f>
        <v>1081</v>
      </c>
      <c r="C83" s="2">
        <v>6777</v>
      </c>
      <c r="D83" s="2" t="s">
        <v>180</v>
      </c>
      <c r="E83" s="5">
        <v>11</v>
      </c>
      <c r="F83" s="5">
        <v>20</v>
      </c>
      <c r="G83" s="5">
        <f>F83-E83</f>
        <v>9</v>
      </c>
      <c r="H83" s="9">
        <f>IF(F83&gt;50,G83*0.2,G83*0.1)</f>
        <v>0.9</v>
      </c>
      <c r="I83" s="2" t="s">
        <v>181</v>
      </c>
      <c r="J83" s="2" t="s">
        <v>23</v>
      </c>
    </row>
    <row r="84" spans="1:10">
      <c r="A84" s="2" t="s">
        <v>154</v>
      </c>
      <c r="B84" s="2">
        <f>B83+1</f>
        <v>1082</v>
      </c>
      <c r="C84" s="2">
        <v>6767</v>
      </c>
      <c r="D84" s="2" t="s">
        <v>182</v>
      </c>
      <c r="E84" s="5">
        <v>4</v>
      </c>
      <c r="F84" s="5">
        <v>14</v>
      </c>
      <c r="G84" s="5">
        <f>F84-E84</f>
        <v>10</v>
      </c>
      <c r="H84" s="9">
        <f>IF(F84&gt;50,G84*0.2,G84*0.1)</f>
        <v>1</v>
      </c>
      <c r="I84" s="2" t="s">
        <v>183</v>
      </c>
      <c r="J84" s="2" t="s">
        <v>23</v>
      </c>
    </row>
    <row r="85" spans="1:10">
      <c r="A85" s="2" t="s">
        <v>154</v>
      </c>
      <c r="B85" s="2">
        <f>B84+1</f>
        <v>1083</v>
      </c>
      <c r="C85" s="2">
        <v>7676</v>
      </c>
      <c r="D85" s="2" t="s">
        <v>184</v>
      </c>
      <c r="E85" s="5">
        <v>3</v>
      </c>
      <c r="F85" s="5">
        <v>23</v>
      </c>
      <c r="G85" s="5">
        <f>F85-E85</f>
        <v>20</v>
      </c>
      <c r="H85" s="9">
        <f>IF(F85&gt;50,G85*0.2,G85*0.1)</f>
        <v>2</v>
      </c>
      <c r="I85" s="2" t="s">
        <v>185</v>
      </c>
      <c r="J85" s="2" t="s">
        <v>23</v>
      </c>
    </row>
    <row r="86" spans="1:10">
      <c r="A86" s="2" t="s">
        <v>154</v>
      </c>
      <c r="B86" s="2">
        <f>B85+1</f>
        <v>1084</v>
      </c>
      <c r="C86" s="2">
        <v>6868</v>
      </c>
      <c r="D86" s="2" t="s">
        <v>186</v>
      </c>
      <c r="E86" s="5">
        <v>4</v>
      </c>
      <c r="F86" s="5">
        <v>21</v>
      </c>
      <c r="G86" s="5">
        <f>F86-E86</f>
        <v>17</v>
      </c>
      <c r="H86" s="9">
        <f>IF(F86&gt;50,G86*0.2,G86*0.1)</f>
        <v>1.7000000000000002</v>
      </c>
      <c r="I86" s="2" t="s">
        <v>187</v>
      </c>
      <c r="J86" s="2" t="s">
        <v>23</v>
      </c>
    </row>
    <row r="87" spans="1:10">
      <c r="A87" s="2" t="s">
        <v>154</v>
      </c>
      <c r="B87" s="2">
        <f>B86+1</f>
        <v>1085</v>
      </c>
      <c r="C87" s="2">
        <v>8686</v>
      </c>
      <c r="D87" s="2" t="s">
        <v>188</v>
      </c>
      <c r="E87" s="5">
        <v>54</v>
      </c>
      <c r="F87" s="5">
        <v>60</v>
      </c>
      <c r="G87" s="5">
        <f>F87-E87</f>
        <v>6</v>
      </c>
      <c r="H87" s="9">
        <f>IF(F87&gt;50,G87*0.2,G87*0.1)</f>
        <v>1.2000000000000002</v>
      </c>
      <c r="I87" s="2" t="s">
        <v>189</v>
      </c>
      <c r="J87" s="2" t="s">
        <v>23</v>
      </c>
    </row>
    <row r="88" spans="1:10">
      <c r="A88" s="2" t="s">
        <v>190</v>
      </c>
      <c r="B88" s="2">
        <f>B87+1</f>
        <v>1086</v>
      </c>
      <c r="C88" s="2">
        <v>8989</v>
      </c>
      <c r="D88" s="2" t="s">
        <v>191</v>
      </c>
      <c r="E88" s="5">
        <v>24</v>
      </c>
      <c r="F88" s="5">
        <v>45</v>
      </c>
      <c r="G88" s="5">
        <f>F88-E88</f>
        <v>21</v>
      </c>
      <c r="H88" s="9">
        <f>IF(F88&gt;50,G88*0.2,G88*0.1)</f>
        <v>2.1</v>
      </c>
      <c r="I88" s="2" t="s">
        <v>192</v>
      </c>
      <c r="J88" s="2" t="s">
        <v>23</v>
      </c>
    </row>
    <row r="89" spans="1:10">
      <c r="A89" s="2" t="s">
        <v>190</v>
      </c>
      <c r="B89" s="2">
        <f>B88+1</f>
        <v>1087</v>
      </c>
      <c r="C89" s="2">
        <v>9898</v>
      </c>
      <c r="D89" s="2" t="s">
        <v>193</v>
      </c>
      <c r="E89" s="5">
        <v>25</v>
      </c>
      <c r="F89" s="5">
        <v>35</v>
      </c>
      <c r="G89" s="5">
        <f>F89-E89</f>
        <v>10</v>
      </c>
      <c r="H89" s="9">
        <f>IF(F89&gt;50,G89*0.2,G89*0.1)</f>
        <v>1</v>
      </c>
      <c r="I89" s="2" t="s">
        <v>194</v>
      </c>
      <c r="J89" s="2" t="s">
        <v>23</v>
      </c>
    </row>
    <row r="90" spans="1:10">
      <c r="A90" s="2" t="s">
        <v>190</v>
      </c>
      <c r="B90" s="2">
        <f>B89+1</f>
        <v>1088</v>
      </c>
      <c r="C90" s="2">
        <v>6345</v>
      </c>
      <c r="D90" s="2" t="s">
        <v>195</v>
      </c>
      <c r="E90" s="5">
        <v>19</v>
      </c>
      <c r="F90" s="5">
        <v>25</v>
      </c>
      <c r="G90" s="5">
        <f>F90-E90</f>
        <v>6</v>
      </c>
      <c r="H90" s="9">
        <f>IF(F90&gt;50,G90*0.2,G90*0.1)</f>
        <v>0.60000000000000009</v>
      </c>
      <c r="I90" s="2" t="s">
        <v>196</v>
      </c>
      <c r="J90" s="2" t="s">
        <v>23</v>
      </c>
    </row>
    <row r="91" spans="1:10">
      <c r="A91" s="2" t="s">
        <v>190</v>
      </c>
      <c r="B91" s="2">
        <f>B90+1</f>
        <v>1089</v>
      </c>
      <c r="C91" s="2">
        <v>6556</v>
      </c>
      <c r="D91" s="2" t="s">
        <v>197</v>
      </c>
      <c r="E91" s="5">
        <v>18</v>
      </c>
      <c r="F91" s="5">
        <v>35</v>
      </c>
      <c r="G91" s="5">
        <f>F91-E91</f>
        <v>17</v>
      </c>
      <c r="H91" s="9">
        <f>IF(F91&gt;50,G91*0.2,G91*0.1)</f>
        <v>1.7000000000000002</v>
      </c>
      <c r="I91" s="2" t="s">
        <v>198</v>
      </c>
      <c r="J91" s="2" t="s">
        <v>23</v>
      </c>
    </row>
    <row r="92" spans="1:10">
      <c r="A92" s="2" t="s">
        <v>190</v>
      </c>
      <c r="B92" s="2">
        <f>B91+1</f>
        <v>1090</v>
      </c>
      <c r="C92" s="2">
        <v>6788</v>
      </c>
      <c r="D92" s="2" t="s">
        <v>199</v>
      </c>
      <c r="E92" s="5">
        <v>48</v>
      </c>
      <c r="F92" s="5">
        <v>60</v>
      </c>
      <c r="G92" s="5">
        <f>F92-E92</f>
        <v>12</v>
      </c>
      <c r="H92" s="9">
        <f>IF(F92&gt;50,G92*0.2,G92*0.1)</f>
        <v>2.4000000000000004</v>
      </c>
      <c r="I92" s="2" t="s">
        <v>200</v>
      </c>
      <c r="J92" s="2" t="s">
        <v>23</v>
      </c>
    </row>
    <row r="93" spans="1:10">
      <c r="A93" s="2" t="s">
        <v>190</v>
      </c>
      <c r="B93" s="2">
        <f>B92+1</f>
        <v>1091</v>
      </c>
      <c r="C93" s="2">
        <v>8864</v>
      </c>
      <c r="D93" s="2" t="s">
        <v>201</v>
      </c>
      <c r="E93" s="5">
        <v>12</v>
      </c>
      <c r="F93" s="5">
        <v>31</v>
      </c>
      <c r="G93" s="5">
        <f>F93-E93</f>
        <v>19</v>
      </c>
      <c r="H93" s="9">
        <f>IF(F93&gt;50,G93*0.2,G93*0.1)</f>
        <v>1.9000000000000001</v>
      </c>
      <c r="I93" s="2" t="s">
        <v>200</v>
      </c>
      <c r="J93" s="2" t="s">
        <v>23</v>
      </c>
    </row>
    <row r="94" spans="1:10">
      <c r="A94" s="2" t="s">
        <v>190</v>
      </c>
      <c r="B94" s="2">
        <f>B93+1</f>
        <v>1092</v>
      </c>
      <c r="C94" s="2">
        <v>6654</v>
      </c>
      <c r="D94" s="2" t="s">
        <v>202</v>
      </c>
      <c r="E94" s="5">
        <v>23</v>
      </c>
      <c r="F94" s="5">
        <v>43</v>
      </c>
      <c r="G94" s="5">
        <f>F94-E94</f>
        <v>20</v>
      </c>
      <c r="H94" s="9">
        <f>IF(F94&gt;50,G94*0.2,G94*0.1)</f>
        <v>2</v>
      </c>
      <c r="I94" s="2" t="s">
        <v>200</v>
      </c>
      <c r="J94" s="2" t="s">
        <v>23</v>
      </c>
    </row>
    <row r="95" spans="1:10">
      <c r="A95" s="2" t="s">
        <v>190</v>
      </c>
      <c r="B95" s="2">
        <f>B94+1</f>
        <v>1093</v>
      </c>
      <c r="C95" s="2">
        <v>5543</v>
      </c>
      <c r="D95" s="2" t="s">
        <v>203</v>
      </c>
      <c r="E95" s="5">
        <v>12</v>
      </c>
      <c r="F95" s="5">
        <v>54</v>
      </c>
      <c r="G95" s="5">
        <f>F95-E95</f>
        <v>42</v>
      </c>
      <c r="H95" s="9">
        <f>IF(F95&gt;50,G95*0.2,G95*0.1)</f>
        <v>8.4</v>
      </c>
      <c r="I95" s="2" t="s">
        <v>200</v>
      </c>
      <c r="J95" s="2" t="s">
        <v>23</v>
      </c>
    </row>
    <row r="96" spans="1:10">
      <c r="A96" s="2" t="s">
        <v>190</v>
      </c>
      <c r="B96" s="2">
        <f>B95+1</f>
        <v>1094</v>
      </c>
      <c r="C96" s="2">
        <v>5667</v>
      </c>
      <c r="D96" s="2" t="s">
        <v>204</v>
      </c>
      <c r="E96" s="5">
        <v>32</v>
      </c>
      <c r="F96" s="5">
        <v>50</v>
      </c>
      <c r="G96" s="5">
        <f>F96-E96</f>
        <v>18</v>
      </c>
      <c r="H96" s="9">
        <f>IF(F96&gt;50,G96*0.2,G96*0.1)</f>
        <v>1.8</v>
      </c>
      <c r="I96" s="2" t="s">
        <v>200</v>
      </c>
      <c r="J96" s="2" t="s">
        <v>23</v>
      </c>
    </row>
    <row r="97" spans="1:10">
      <c r="A97" s="2" t="s">
        <v>190</v>
      </c>
      <c r="B97" s="2">
        <f>B96+1</f>
        <v>1095</v>
      </c>
      <c r="C97" s="2">
        <v>6788</v>
      </c>
      <c r="D97" s="2" t="s">
        <v>205</v>
      </c>
      <c r="E97" s="5">
        <v>98</v>
      </c>
      <c r="F97" s="5">
        <v>112</v>
      </c>
      <c r="G97" s="5">
        <f>F97-E97</f>
        <v>14</v>
      </c>
      <c r="H97" s="9">
        <f>IF(F97&gt;50,G97*0.2,G97*0.1)</f>
        <v>2.8000000000000003</v>
      </c>
      <c r="I97" s="2" t="s">
        <v>200</v>
      </c>
      <c r="J97" s="2" t="s">
        <v>23</v>
      </c>
    </row>
    <row r="98" spans="1:10">
      <c r="A98" s="2" t="s">
        <v>190</v>
      </c>
      <c r="B98" s="2">
        <f>B97+1</f>
        <v>1096</v>
      </c>
      <c r="C98" s="2">
        <v>3456</v>
      </c>
      <c r="D98" s="2" t="s">
        <v>206</v>
      </c>
      <c r="E98" s="5">
        <v>800</v>
      </c>
      <c r="F98" s="5">
        <v>900</v>
      </c>
      <c r="G98" s="5">
        <f>F98-E98</f>
        <v>100</v>
      </c>
      <c r="H98" s="9">
        <f>IF(F98&gt;50,G98*0.2,G98*0.1)</f>
        <v>20</v>
      </c>
      <c r="I98" s="2" t="s">
        <v>200</v>
      </c>
      <c r="J98" s="2" t="s">
        <v>23</v>
      </c>
    </row>
    <row r="99" spans="1:10">
      <c r="A99" s="2" t="s">
        <v>190</v>
      </c>
      <c r="B99" s="2">
        <f>B98+1</f>
        <v>1097</v>
      </c>
      <c r="C99" s="2">
        <v>5433</v>
      </c>
      <c r="D99" s="2" t="s">
        <v>207</v>
      </c>
      <c r="E99" s="5">
        <v>12</v>
      </c>
      <c r="F99" s="5">
        <v>24</v>
      </c>
      <c r="G99" s="5">
        <f>F99-E99</f>
        <v>12</v>
      </c>
      <c r="H99" s="9">
        <f>IF(F99&gt;50,G99*0.2,G99*0.1)</f>
        <v>1.2000000000000002</v>
      </c>
      <c r="I99" s="2" t="s">
        <v>200</v>
      </c>
      <c r="J99" s="2" t="s">
        <v>23</v>
      </c>
    </row>
    <row r="100" spans="1:10">
      <c r="A100" s="2" t="s">
        <v>190</v>
      </c>
      <c r="B100" s="2">
        <f>B99+1</f>
        <v>1098</v>
      </c>
      <c r="C100" s="2">
        <v>4112</v>
      </c>
      <c r="D100" s="2" t="s">
        <v>208</v>
      </c>
      <c r="E100" s="5">
        <v>55</v>
      </c>
      <c r="F100" s="5">
        <v>70</v>
      </c>
      <c r="G100" s="5">
        <f>F100-E100</f>
        <v>15</v>
      </c>
      <c r="H100" s="9">
        <f>IF(F100&gt;50,G100*0.2,G100*0.1)</f>
        <v>3</v>
      </c>
      <c r="I100" s="2" t="s">
        <v>200</v>
      </c>
      <c r="J100" s="2" t="s">
        <v>23</v>
      </c>
    </row>
    <row r="101" spans="1:10">
      <c r="A101" s="2" t="s">
        <v>190</v>
      </c>
      <c r="B101" s="2">
        <f>B100+1</f>
        <v>1099</v>
      </c>
      <c r="C101" s="2">
        <v>2543</v>
      </c>
      <c r="D101" s="2" t="s">
        <v>209</v>
      </c>
      <c r="E101" s="5">
        <v>43</v>
      </c>
      <c r="F101" s="5">
        <v>65</v>
      </c>
      <c r="G101" s="5">
        <f>F101-E101</f>
        <v>22</v>
      </c>
      <c r="H101" s="9">
        <f>IF(F101&gt;50,G101*0.2,G101*0.1)</f>
        <v>4.4000000000000004</v>
      </c>
      <c r="I101" s="2" t="s">
        <v>200</v>
      </c>
      <c r="J101" s="2" t="s">
        <v>23</v>
      </c>
    </row>
    <row r="102" spans="1:10">
      <c r="A102" s="2" t="s">
        <v>190</v>
      </c>
      <c r="B102" s="2">
        <f>B101+1</f>
        <v>1100</v>
      </c>
      <c r="C102" s="2">
        <v>4577</v>
      </c>
      <c r="D102" s="2" t="s">
        <v>210</v>
      </c>
      <c r="E102" s="5">
        <v>32</v>
      </c>
      <c r="F102" s="5">
        <v>35</v>
      </c>
      <c r="G102" s="5">
        <f>F102-E102</f>
        <v>3</v>
      </c>
      <c r="H102" s="9">
        <f>IF(F102&gt;50,G102*0.2,G102*0.1)</f>
        <v>0.30000000000000004</v>
      </c>
      <c r="I102" s="2" t="s">
        <v>200</v>
      </c>
      <c r="J102" s="2" t="s">
        <v>23</v>
      </c>
    </row>
    <row r="103" spans="1:10">
      <c r="A103" s="2" t="s">
        <v>190</v>
      </c>
      <c r="B103" s="2">
        <f>B102+1</f>
        <v>1101</v>
      </c>
      <c r="C103" s="2">
        <v>1234</v>
      </c>
      <c r="D103" s="2" t="s">
        <v>211</v>
      </c>
      <c r="E103" s="5">
        <v>1</v>
      </c>
      <c r="F103" s="5">
        <v>3</v>
      </c>
      <c r="G103" s="5">
        <f>F103-E103</f>
        <v>2</v>
      </c>
      <c r="H103" s="9">
        <f>IF(F103&gt;50,G103*0.2,G103*0.1)</f>
        <v>0.2</v>
      </c>
      <c r="I103" s="2" t="s">
        <v>200</v>
      </c>
      <c r="J103" s="2" t="s">
        <v>23</v>
      </c>
    </row>
    <row r="104" spans="1:10">
      <c r="A104" s="2" t="s">
        <v>190</v>
      </c>
      <c r="B104" s="2">
        <f>B103+1</f>
        <v>1102</v>
      </c>
      <c r="C104" s="2">
        <v>1664</v>
      </c>
      <c r="D104" s="2" t="s">
        <v>212</v>
      </c>
      <c r="E104" s="5">
        <v>5</v>
      </c>
      <c r="F104" s="5">
        <v>13</v>
      </c>
      <c r="G104" s="5">
        <f>F104-E104</f>
        <v>8</v>
      </c>
      <c r="H104" s="9">
        <f>IF(F104&gt;50,G104*0.2,G104*0.1)</f>
        <v>0.8</v>
      </c>
      <c r="I104" s="2" t="s">
        <v>200</v>
      </c>
      <c r="J104" s="2" t="s">
        <v>23</v>
      </c>
    </row>
    <row r="105" spans="1:10">
      <c r="A105" s="2" t="s">
        <v>190</v>
      </c>
      <c r="B105" s="2">
        <f>B104+1</f>
        <v>1103</v>
      </c>
      <c r="C105" s="2">
        <v>4554</v>
      </c>
      <c r="D105" s="2" t="s">
        <v>213</v>
      </c>
      <c r="E105" s="5">
        <v>6</v>
      </c>
      <c r="F105" s="5">
        <v>12</v>
      </c>
      <c r="G105" s="5">
        <f>F105-E105</f>
        <v>6</v>
      </c>
      <c r="H105" s="9">
        <f>IF(F105&gt;50,G105*0.2,G105*0.1)</f>
        <v>0.60000000000000009</v>
      </c>
      <c r="I105" s="2" t="s">
        <v>200</v>
      </c>
      <c r="J105" s="2" t="s">
        <v>23</v>
      </c>
    </row>
    <row r="106" spans="1:10">
      <c r="A106" s="2" t="s">
        <v>214</v>
      </c>
      <c r="B106" s="2">
        <f>B105+1</f>
        <v>1104</v>
      </c>
      <c r="C106" s="2">
        <v>4554</v>
      </c>
      <c r="D106" s="2" t="s">
        <v>215</v>
      </c>
      <c r="E106" s="5">
        <v>17</v>
      </c>
      <c r="F106" s="5">
        <v>21</v>
      </c>
      <c r="G106" s="5">
        <f>F106-E106</f>
        <v>4</v>
      </c>
      <c r="H106" s="9">
        <f>IF(F106&gt;50,G106*0.2,G106*0.1)</f>
        <v>0.4</v>
      </c>
      <c r="I106" s="2" t="s">
        <v>200</v>
      </c>
      <c r="J106" s="2" t="s">
        <v>23</v>
      </c>
    </row>
    <row r="107" spans="1:10">
      <c r="A107" s="2" t="s">
        <v>214</v>
      </c>
      <c r="B107" s="2">
        <f>B106+1</f>
        <v>1105</v>
      </c>
      <c r="C107" s="2">
        <v>3464</v>
      </c>
      <c r="D107" s="2" t="s">
        <v>216</v>
      </c>
      <c r="E107" s="5">
        <v>42</v>
      </c>
      <c r="F107" s="5">
        <v>54</v>
      </c>
      <c r="G107" s="5">
        <f>F107-E107</f>
        <v>12</v>
      </c>
      <c r="H107" s="9">
        <f>IF(F107&gt;50,G107*0.2,G107*0.1)</f>
        <v>2.4000000000000004</v>
      </c>
      <c r="I107" s="2" t="s">
        <v>200</v>
      </c>
      <c r="J107" s="2" t="s">
        <v>23</v>
      </c>
    </row>
    <row r="108" spans="1:10">
      <c r="A108" s="2" t="s">
        <v>214</v>
      </c>
      <c r="B108" s="2">
        <f>B107+1</f>
        <v>1106</v>
      </c>
      <c r="C108" s="2">
        <v>4553</v>
      </c>
      <c r="D108" s="2" t="s">
        <v>217</v>
      </c>
      <c r="E108" s="5">
        <v>12</v>
      </c>
      <c r="F108" s="5">
        <v>16</v>
      </c>
      <c r="G108" s="5">
        <f>F108-E108</f>
        <v>4</v>
      </c>
      <c r="H108" s="9">
        <f>IF(F108&gt;50,G108*0.2,G108*0.1)</f>
        <v>0.4</v>
      </c>
      <c r="I108" s="2" t="s">
        <v>200</v>
      </c>
      <c r="J108" s="2" t="s">
        <v>23</v>
      </c>
    </row>
    <row r="109" spans="1:10">
      <c r="A109" s="2" t="s">
        <v>214</v>
      </c>
      <c r="B109" s="2">
        <f>B108+1</f>
        <v>1107</v>
      </c>
      <c r="C109" s="2">
        <v>1002</v>
      </c>
      <c r="D109" s="2" t="s">
        <v>218</v>
      </c>
      <c r="E109" s="5">
        <v>23</v>
      </c>
      <c r="F109" s="5">
        <v>29</v>
      </c>
      <c r="G109" s="5">
        <f>F109-E109</f>
        <v>6</v>
      </c>
      <c r="H109" s="9">
        <f>IF(F109&gt;50,G109*0.2,G109*0.1)</f>
        <v>0.60000000000000009</v>
      </c>
      <c r="I109" s="2" t="s">
        <v>200</v>
      </c>
      <c r="J109" s="2" t="s">
        <v>23</v>
      </c>
    </row>
    <row r="110" spans="1:10">
      <c r="A110" s="2" t="s">
        <v>214</v>
      </c>
      <c r="B110" s="2">
        <f>B109+1</f>
        <v>1108</v>
      </c>
      <c r="C110" s="2">
        <v>1003</v>
      </c>
      <c r="D110" s="2" t="s">
        <v>219</v>
      </c>
      <c r="E110" s="5">
        <v>44</v>
      </c>
      <c r="F110" s="5">
        <v>68</v>
      </c>
      <c r="G110" s="5">
        <f>F110-E110</f>
        <v>24</v>
      </c>
      <c r="H110" s="9">
        <f>IF(F110&gt;50,G110*0.2,G110*0.1)</f>
        <v>4.8000000000000007</v>
      </c>
      <c r="I110" s="2" t="s">
        <v>200</v>
      </c>
      <c r="J110" s="2" t="s">
        <v>220</v>
      </c>
    </row>
    <row r="111" spans="1:10">
      <c r="A111" s="2" t="s">
        <v>214</v>
      </c>
      <c r="B111" s="2">
        <f>B110+1</f>
        <v>1109</v>
      </c>
      <c r="C111" s="2">
        <v>2001</v>
      </c>
      <c r="D111" s="2" t="s">
        <v>221</v>
      </c>
      <c r="E111" s="5">
        <v>54</v>
      </c>
      <c r="F111" s="5">
        <v>62</v>
      </c>
      <c r="G111" s="5">
        <f>F111-E111</f>
        <v>8</v>
      </c>
      <c r="H111" s="9">
        <f>IF(F111&gt;50,G111*0.2,G111*0.1)</f>
        <v>1.6</v>
      </c>
      <c r="I111" s="2" t="s">
        <v>200</v>
      </c>
      <c r="J111" s="2" t="s">
        <v>222</v>
      </c>
    </row>
    <row r="112" spans="1:10">
      <c r="A112" s="2" t="s">
        <v>214</v>
      </c>
      <c r="B112" s="2">
        <f>B111+1</f>
        <v>1110</v>
      </c>
      <c r="C112" s="2">
        <v>2344</v>
      </c>
      <c r="D112" s="2" t="s">
        <v>223</v>
      </c>
      <c r="E112" s="5">
        <v>39</v>
      </c>
      <c r="F112" s="5">
        <v>51</v>
      </c>
      <c r="G112" s="5">
        <f>F112-E112</f>
        <v>12</v>
      </c>
      <c r="H112" s="9">
        <f>IF(F112&gt;50,G112*0.2,G112*0.1)</f>
        <v>2.4000000000000004</v>
      </c>
      <c r="I112" s="2" t="s">
        <v>200</v>
      </c>
      <c r="J112" s="2" t="s">
        <v>80</v>
      </c>
    </row>
    <row r="113" spans="1:10">
      <c r="A113" s="2" t="s">
        <v>214</v>
      </c>
      <c r="B113" s="2">
        <f>B112+1</f>
        <v>1111</v>
      </c>
      <c r="C113" s="2">
        <v>2334</v>
      </c>
      <c r="D113" s="2" t="s">
        <v>224</v>
      </c>
      <c r="E113" s="5">
        <v>34</v>
      </c>
      <c r="F113" s="5">
        <v>50</v>
      </c>
      <c r="G113" s="5">
        <f>F113-E113</f>
        <v>16</v>
      </c>
      <c r="H113" s="9">
        <f>IF(F113&gt;50,G113*0.2,G113*0.1)</f>
        <v>1.6</v>
      </c>
      <c r="I113" s="2" t="s">
        <v>200</v>
      </c>
      <c r="J113" s="2" t="s">
        <v>35</v>
      </c>
    </row>
    <row r="114" spans="1:10">
      <c r="A114" s="2" t="s">
        <v>214</v>
      </c>
      <c r="B114" s="2">
        <f>B113+1</f>
        <v>1112</v>
      </c>
      <c r="C114" s="2">
        <v>2627</v>
      </c>
      <c r="D114" s="2" t="s">
        <v>225</v>
      </c>
      <c r="E114" s="5">
        <v>57</v>
      </c>
      <c r="F114" s="5">
        <v>61</v>
      </c>
      <c r="G114" s="5">
        <f>F114-E114</f>
        <v>4</v>
      </c>
      <c r="H114" s="9">
        <f>IF(F114&gt;50,G114*0.2,G114*0.1)</f>
        <v>0.8</v>
      </c>
      <c r="I114" s="2" t="s">
        <v>200</v>
      </c>
      <c r="J114" s="2" t="s">
        <v>226</v>
      </c>
    </row>
    <row r="115" spans="1:10">
      <c r="A115" s="2" t="s">
        <v>214</v>
      </c>
      <c r="B115" s="2">
        <f>B114+1</f>
        <v>1113</v>
      </c>
      <c r="C115" s="2">
        <v>8232</v>
      </c>
      <c r="D115" s="2" t="s">
        <v>227</v>
      </c>
      <c r="E115" s="5">
        <v>21</v>
      </c>
      <c r="F115" s="5">
        <v>30</v>
      </c>
      <c r="G115" s="5">
        <f>F115-E115</f>
        <v>9</v>
      </c>
      <c r="H115" s="9">
        <f>IF(F115&gt;50,G115*0.2,G115*0.1)</f>
        <v>0.9</v>
      </c>
      <c r="I115" s="2" t="s">
        <v>200</v>
      </c>
      <c r="J115" s="2" t="s">
        <v>228</v>
      </c>
    </row>
    <row r="116" spans="1:10">
      <c r="A116" s="2" t="s">
        <v>214</v>
      </c>
      <c r="B116" s="2">
        <f>B115+1</f>
        <v>1114</v>
      </c>
      <c r="C116" s="2">
        <v>7382</v>
      </c>
      <c r="D116" s="2" t="s">
        <v>229</v>
      </c>
      <c r="E116" s="5">
        <v>23</v>
      </c>
      <c r="F116" s="5">
        <v>32</v>
      </c>
      <c r="G116" s="5">
        <f>F116-E116</f>
        <v>9</v>
      </c>
      <c r="H116" s="9">
        <f>IF(F116&gt;50,G116*0.2,G116*0.1)</f>
        <v>0.9</v>
      </c>
      <c r="I116" s="2" t="s">
        <v>200</v>
      </c>
      <c r="J116" s="2" t="s">
        <v>230</v>
      </c>
    </row>
    <row r="117" spans="1:10">
      <c r="A117" s="2" t="s">
        <v>214</v>
      </c>
      <c r="B117" s="2">
        <f>B116+1</f>
        <v>1115</v>
      </c>
      <c r="C117" s="2">
        <v>2832</v>
      </c>
      <c r="D117" s="2" t="s">
        <v>231</v>
      </c>
      <c r="E117" s="5">
        <v>46</v>
      </c>
      <c r="F117" s="5">
        <v>53</v>
      </c>
      <c r="G117" s="5">
        <f>F117-E117</f>
        <v>7</v>
      </c>
      <c r="H117" s="9">
        <f>IF(F117&gt;50,G117*0.2,G117*0.1)</f>
        <v>1.4000000000000001</v>
      </c>
      <c r="I117" s="2" t="s">
        <v>200</v>
      </c>
      <c r="J117" s="2" t="s">
        <v>232</v>
      </c>
    </row>
    <row r="118" spans="1:10">
      <c r="A118" s="2" t="s">
        <v>214</v>
      </c>
      <c r="B118" s="2">
        <f>B117+1</f>
        <v>1116</v>
      </c>
      <c r="C118" s="2">
        <v>2732</v>
      </c>
      <c r="D118" s="2" t="s">
        <v>233</v>
      </c>
      <c r="E118" s="5">
        <v>54</v>
      </c>
      <c r="F118" s="5">
        <v>62</v>
      </c>
      <c r="G118" s="5">
        <f>F118-E118</f>
        <v>8</v>
      </c>
      <c r="H118" s="9">
        <f>IF(F118&gt;50,G118*0.2,G118*0.1)</f>
        <v>1.6</v>
      </c>
      <c r="I118" s="2" t="s">
        <v>200</v>
      </c>
      <c r="J118" s="2" t="s">
        <v>234</v>
      </c>
    </row>
    <row r="119" spans="1:10">
      <c r="A119" s="2" t="s">
        <v>214</v>
      </c>
      <c r="B119" s="2">
        <f>B118+1</f>
        <v>1117</v>
      </c>
      <c r="C119" s="2">
        <v>7372</v>
      </c>
      <c r="D119" s="2" t="s">
        <v>235</v>
      </c>
      <c r="E119" s="5">
        <v>32</v>
      </c>
      <c r="F119" s="5">
        <v>42</v>
      </c>
      <c r="G119" s="5">
        <f>F119-E119</f>
        <v>10</v>
      </c>
      <c r="H119" s="9">
        <f>IF(F119&gt;50,G119*0.2,G119*0.1)</f>
        <v>1</v>
      </c>
      <c r="I119" s="2" t="s">
        <v>200</v>
      </c>
      <c r="J119" s="2" t="s">
        <v>236</v>
      </c>
    </row>
    <row r="120" spans="1:10">
      <c r="A120" s="2" t="s">
        <v>214</v>
      </c>
      <c r="B120" s="2">
        <f>B119+1</f>
        <v>1118</v>
      </c>
      <c r="C120" s="2">
        <v>2838</v>
      </c>
      <c r="D120" s="2" t="s">
        <v>237</v>
      </c>
      <c r="E120" s="5">
        <v>23</v>
      </c>
      <c r="F120" s="5">
        <v>35</v>
      </c>
      <c r="G120" s="5">
        <f>F120-E120</f>
        <v>12</v>
      </c>
      <c r="H120" s="9">
        <f>IF(F120&gt;50,G120*0.2,G120*0.1)</f>
        <v>1.2000000000000002</v>
      </c>
      <c r="I120" s="2" t="s">
        <v>200</v>
      </c>
      <c r="J120" s="2" t="s">
        <v>238</v>
      </c>
    </row>
    <row r="121" spans="1:10">
      <c r="A121" s="2" t="s">
        <v>214</v>
      </c>
      <c r="B121" s="2">
        <f>B120+1</f>
        <v>1119</v>
      </c>
      <c r="C121" s="2">
        <v>1812</v>
      </c>
      <c r="D121" s="2" t="s">
        <v>239</v>
      </c>
      <c r="E121" s="5">
        <v>5</v>
      </c>
      <c r="F121" s="5">
        <v>18</v>
      </c>
      <c r="G121" s="5">
        <f>F121-E121</f>
        <v>13</v>
      </c>
      <c r="H121" s="9">
        <f>IF(F121&gt;50,G121*0.2,G121*0.1)</f>
        <v>1.3</v>
      </c>
      <c r="I121" s="2" t="s">
        <v>200</v>
      </c>
      <c r="J121" s="2" t="s">
        <v>240</v>
      </c>
    </row>
    <row r="122" spans="1:10">
      <c r="A122" s="2" t="s">
        <v>214</v>
      </c>
      <c r="B122" s="2">
        <f>B121+1</f>
        <v>1120</v>
      </c>
      <c r="C122" s="2">
        <v>2098</v>
      </c>
      <c r="D122" s="2" t="s">
        <v>241</v>
      </c>
      <c r="E122" s="5">
        <v>23</v>
      </c>
      <c r="F122" s="5">
        <v>30</v>
      </c>
      <c r="G122" s="5">
        <f>F122-E122</f>
        <v>7</v>
      </c>
      <c r="H122" s="9">
        <f>IF(F122&gt;50,G122*0.2,G122*0.1)</f>
        <v>0.70000000000000007</v>
      </c>
      <c r="I122" s="2" t="s">
        <v>200</v>
      </c>
      <c r="J122" s="2" t="s">
        <v>242</v>
      </c>
    </row>
    <row r="123" spans="1:10">
      <c r="A123" s="2" t="s">
        <v>214</v>
      </c>
      <c r="B123" s="2">
        <f>B122+1</f>
        <v>1121</v>
      </c>
      <c r="C123" s="2">
        <v>8979</v>
      </c>
      <c r="D123" s="2" t="s">
        <v>243</v>
      </c>
      <c r="E123" s="5">
        <v>12</v>
      </c>
      <c r="F123" s="5">
        <v>21</v>
      </c>
      <c r="G123" s="5">
        <f>F123-E123</f>
        <v>9</v>
      </c>
      <c r="H123" s="9">
        <f>IF(F123&gt;50,G123*0.2,G123*0.1)</f>
        <v>0.9</v>
      </c>
      <c r="I123" s="2" t="s">
        <v>200</v>
      </c>
      <c r="J123" s="2" t="s">
        <v>244</v>
      </c>
    </row>
    <row r="124" spans="1:10">
      <c r="A124" s="2" t="s">
        <v>245</v>
      </c>
      <c r="B124" s="2">
        <f>B123+1</f>
        <v>1122</v>
      </c>
      <c r="C124" s="2">
        <v>2838</v>
      </c>
      <c r="D124" s="2" t="s">
        <v>246</v>
      </c>
      <c r="E124" s="5">
        <v>33</v>
      </c>
      <c r="F124" s="5">
        <v>41</v>
      </c>
      <c r="G124" s="5">
        <f>F124-E124</f>
        <v>8</v>
      </c>
      <c r="H124" s="9">
        <f>IF(F124&gt;50,G124*0.2,G124*0.1)</f>
        <v>0.8</v>
      </c>
      <c r="I124" s="2" t="s">
        <v>200</v>
      </c>
      <c r="J124" s="2" t="s">
        <v>247</v>
      </c>
    </row>
    <row r="125" spans="1:10">
      <c r="A125" s="2" t="s">
        <v>245</v>
      </c>
      <c r="B125" s="2">
        <f>B124+1</f>
        <v>1123</v>
      </c>
      <c r="C125" s="2">
        <v>4554</v>
      </c>
      <c r="D125" s="2" t="s">
        <v>248</v>
      </c>
      <c r="E125" s="5">
        <v>23</v>
      </c>
      <c r="F125" s="5">
        <v>40</v>
      </c>
      <c r="G125" s="5">
        <f>F125-E125</f>
        <v>17</v>
      </c>
      <c r="H125" s="9">
        <f>IF(F125&gt;50,G125*0.2,G125*0.1)</f>
        <v>1.7000000000000002</v>
      </c>
      <c r="I125" s="2" t="s">
        <v>200</v>
      </c>
      <c r="J125" s="2" t="s">
        <v>249</v>
      </c>
    </row>
    <row r="126" spans="1:10">
      <c r="A126" s="2" t="s">
        <v>245</v>
      </c>
      <c r="B126" s="2">
        <f>B125+1</f>
        <v>1124</v>
      </c>
      <c r="C126" s="2">
        <v>4474</v>
      </c>
      <c r="D126" s="2" t="s">
        <v>250</v>
      </c>
      <c r="E126" s="5">
        <v>23</v>
      </c>
      <c r="F126" s="5">
        <v>40</v>
      </c>
      <c r="G126" s="5">
        <f>F126-E126</f>
        <v>17</v>
      </c>
      <c r="H126" s="9">
        <f>IF(F126&gt;50,G126*0.2,G126*0.1)</f>
        <v>1.7000000000000002</v>
      </c>
      <c r="I126" s="2" t="s">
        <v>200</v>
      </c>
      <c r="J126" s="2" t="s">
        <v>251</v>
      </c>
    </row>
    <row r="127" spans="1:10">
      <c r="A127" s="2" t="s">
        <v>245</v>
      </c>
      <c r="B127" s="2">
        <f>B126+1</f>
        <v>1125</v>
      </c>
      <c r="C127" s="2">
        <v>4673</v>
      </c>
      <c r="D127" s="2" t="s">
        <v>252</v>
      </c>
      <c r="E127" s="5">
        <v>12</v>
      </c>
      <c r="F127" s="5">
        <v>23</v>
      </c>
      <c r="G127" s="5">
        <f>F127-E127</f>
        <v>11</v>
      </c>
      <c r="H127" s="9">
        <f>IF(F127&gt;50,G127*0.2,G127*0.1)</f>
        <v>1.1000000000000001</v>
      </c>
      <c r="I127" s="2" t="s">
        <v>200</v>
      </c>
      <c r="J127" s="2" t="s">
        <v>253</v>
      </c>
    </row>
    <row r="128" spans="1:10">
      <c r="A128" s="2" t="s">
        <v>245</v>
      </c>
      <c r="B128" s="2">
        <f>B127+1</f>
        <v>1126</v>
      </c>
      <c r="C128" s="2">
        <v>7338</v>
      </c>
      <c r="D128" s="2" t="s">
        <v>254</v>
      </c>
      <c r="E128" s="5">
        <v>355</v>
      </c>
      <c r="F128" s="5">
        <v>400</v>
      </c>
      <c r="G128" s="5">
        <f>F128-E128</f>
        <v>45</v>
      </c>
      <c r="H128" s="9">
        <f>IF(F128&gt;50,G128*0.2,G128*0.1)</f>
        <v>9</v>
      </c>
      <c r="I128" s="2" t="s">
        <v>200</v>
      </c>
      <c r="J128" s="2" t="s">
        <v>255</v>
      </c>
    </row>
    <row r="129" spans="1:10">
      <c r="A129" s="2" t="s">
        <v>245</v>
      </c>
      <c r="B129" s="2">
        <f>B128+1</f>
        <v>1127</v>
      </c>
      <c r="C129" s="2">
        <v>3784</v>
      </c>
      <c r="D129" s="2" t="s">
        <v>256</v>
      </c>
      <c r="E129" s="5">
        <v>665</v>
      </c>
      <c r="F129" s="5">
        <v>750</v>
      </c>
      <c r="G129" s="5">
        <f>F129-E129</f>
        <v>85</v>
      </c>
      <c r="H129" s="9">
        <f>IF(F129&gt;50,G129*0.2,G129*0.1)</f>
        <v>17</v>
      </c>
      <c r="I129" s="2" t="s">
        <v>200</v>
      </c>
      <c r="J129" s="2" t="s">
        <v>257</v>
      </c>
    </row>
    <row r="130" spans="1:10">
      <c r="A130" s="2" t="s">
        <v>245</v>
      </c>
      <c r="B130" s="2">
        <f>B129+1</f>
        <v>1128</v>
      </c>
      <c r="C130" s="2">
        <v>2334</v>
      </c>
      <c r="D130" s="2" t="s">
        <v>258</v>
      </c>
      <c r="E130" s="5">
        <v>100</v>
      </c>
      <c r="F130" s="5">
        <v>300</v>
      </c>
      <c r="G130" s="5">
        <f>F130-E130</f>
        <v>200</v>
      </c>
      <c r="H130" s="9">
        <f>IF(F130&gt;50,G130*0.2,G130*0.1)</f>
        <v>40</v>
      </c>
      <c r="I130" s="2" t="s">
        <v>200</v>
      </c>
      <c r="J130" s="2" t="s">
        <v>259</v>
      </c>
    </row>
    <row r="131" spans="1:10">
      <c r="A131" s="2" t="s">
        <v>245</v>
      </c>
      <c r="B131" s="2">
        <f>B130+1</f>
        <v>1129</v>
      </c>
      <c r="C131" s="2">
        <v>3434</v>
      </c>
      <c r="D131" s="2" t="s">
        <v>260</v>
      </c>
      <c r="E131" s="5">
        <v>79</v>
      </c>
      <c r="F131" s="5">
        <v>150</v>
      </c>
      <c r="G131" s="5">
        <f>F131-E131</f>
        <v>71</v>
      </c>
      <c r="H131" s="9">
        <f>IF(F131&gt;50,G131*0.2,G131*0.1)</f>
        <v>14.200000000000001</v>
      </c>
      <c r="I131" s="2" t="s">
        <v>200</v>
      </c>
      <c r="J131" s="2" t="s">
        <v>261</v>
      </c>
    </row>
    <row r="132" spans="1:10">
      <c r="A132" s="2" t="s">
        <v>245</v>
      </c>
      <c r="B132" s="2">
        <f>B131+1</f>
        <v>1130</v>
      </c>
      <c r="C132" s="2">
        <v>3455</v>
      </c>
      <c r="D132" s="2" t="s">
        <v>262</v>
      </c>
      <c r="E132" s="5">
        <v>44</v>
      </c>
      <c r="F132" s="5">
        <v>100</v>
      </c>
      <c r="G132" s="5">
        <f>F132-E132</f>
        <v>56</v>
      </c>
      <c r="H132" s="9">
        <f>IF(F132&gt;50,G132*0.2,G132*0.1)</f>
        <v>11.200000000000001</v>
      </c>
      <c r="I132" s="2" t="s">
        <v>200</v>
      </c>
      <c r="J132" s="2" t="s">
        <v>263</v>
      </c>
    </row>
    <row r="133" spans="1:10">
      <c r="A133" s="2" t="s">
        <v>245</v>
      </c>
      <c r="B133" s="2">
        <f>B132+1</f>
        <v>1131</v>
      </c>
      <c r="C133" s="2">
        <v>7767</v>
      </c>
      <c r="D133" s="2" t="s">
        <v>264</v>
      </c>
      <c r="E133" s="5">
        <v>43</v>
      </c>
      <c r="F133" s="5">
        <v>90</v>
      </c>
      <c r="G133" s="5">
        <f>F133-E133</f>
        <v>47</v>
      </c>
      <c r="H133" s="9">
        <f>IF(F133&gt;50,G133*0.2,G133*0.1)</f>
        <v>9.4</v>
      </c>
      <c r="I133" s="2" t="s">
        <v>200</v>
      </c>
      <c r="J133" s="2" t="s">
        <v>265</v>
      </c>
    </row>
    <row r="134" spans="1:10">
      <c r="A134" s="2" t="s">
        <v>245</v>
      </c>
      <c r="B134" s="2">
        <f>B133+1</f>
        <v>1132</v>
      </c>
      <c r="C134" s="2">
        <v>7898</v>
      </c>
      <c r="D134" s="2" t="s">
        <v>266</v>
      </c>
      <c r="E134" s="5">
        <v>34</v>
      </c>
      <c r="F134" s="5">
        <v>50</v>
      </c>
      <c r="G134" s="5">
        <f>F134-E134</f>
        <v>16</v>
      </c>
      <c r="H134" s="9">
        <f>IF(F134&gt;50,G134*0.2,G134*0.1)</f>
        <v>1.6</v>
      </c>
      <c r="I134" s="2" t="s">
        <v>200</v>
      </c>
      <c r="J134" s="2" t="s">
        <v>267</v>
      </c>
    </row>
    <row r="135" spans="1:10">
      <c r="A135" s="2" t="s">
        <v>245</v>
      </c>
      <c r="B135" s="2">
        <f>B134+1</f>
        <v>1133</v>
      </c>
      <c r="C135" s="2">
        <v>6765</v>
      </c>
      <c r="D135" s="2" t="s">
        <v>11</v>
      </c>
      <c r="E135" s="5">
        <v>53</v>
      </c>
      <c r="F135" s="5">
        <v>70</v>
      </c>
      <c r="G135" s="5">
        <f>F135-E135</f>
        <v>17</v>
      </c>
      <c r="H135" s="9">
        <f>IF(F135&gt;50,G135*0.2,G135*0.1)</f>
        <v>3.4000000000000004</v>
      </c>
      <c r="I135" s="2" t="s">
        <v>200</v>
      </c>
      <c r="J135" s="2" t="s">
        <v>267</v>
      </c>
    </row>
    <row r="136" spans="1:10">
      <c r="A136" s="2" t="s">
        <v>245</v>
      </c>
      <c r="B136" s="2">
        <f>B135+1</f>
        <v>1134</v>
      </c>
      <c r="C136" s="2">
        <v>5778</v>
      </c>
      <c r="D136" s="2" t="s">
        <v>268</v>
      </c>
      <c r="E136" s="5">
        <v>5</v>
      </c>
      <c r="F136" s="5">
        <v>15</v>
      </c>
      <c r="G136" s="5">
        <f>F136-E136</f>
        <v>10</v>
      </c>
      <c r="H136" s="9">
        <f>IF(F136&gt;50,G136*0.2,G136*0.1)</f>
        <v>1</v>
      </c>
      <c r="I136" s="2" t="s">
        <v>200</v>
      </c>
      <c r="J136" s="2" t="s">
        <v>269</v>
      </c>
    </row>
    <row r="137" spans="1:10">
      <c r="A137" s="2" t="s">
        <v>245</v>
      </c>
      <c r="B137" s="2">
        <f>B136+1</f>
        <v>1135</v>
      </c>
      <c r="C137" s="2">
        <v>5676</v>
      </c>
      <c r="D137" s="2" t="s">
        <v>270</v>
      </c>
      <c r="E137" s="5">
        <v>6</v>
      </c>
      <c r="F137" s="5">
        <v>20</v>
      </c>
      <c r="G137" s="5">
        <f>F137-E137</f>
        <v>14</v>
      </c>
      <c r="H137" s="9">
        <f>IF(F137&gt;50,G137*0.2,G137*0.1)</f>
        <v>1.4000000000000001</v>
      </c>
      <c r="I137" s="2" t="s">
        <v>200</v>
      </c>
      <c r="J137" s="2" t="s">
        <v>269</v>
      </c>
    </row>
    <row r="138" spans="1:10">
      <c r="A138" s="2" t="s">
        <v>245</v>
      </c>
      <c r="B138" s="2">
        <f>B137+1</f>
        <v>1136</v>
      </c>
      <c r="C138" s="2">
        <v>5754</v>
      </c>
      <c r="D138" s="2" t="s">
        <v>21</v>
      </c>
      <c r="E138" s="5">
        <v>56</v>
      </c>
      <c r="F138" s="5">
        <v>70</v>
      </c>
      <c r="G138" s="5">
        <f>F138-E138</f>
        <v>14</v>
      </c>
      <c r="H138" s="9">
        <f>IF(F138&gt;50,G138*0.2,G138*0.1)</f>
        <v>2.8000000000000003</v>
      </c>
      <c r="I138" s="2" t="s">
        <v>200</v>
      </c>
      <c r="J138" s="2" t="s">
        <v>271</v>
      </c>
    </row>
    <row r="139" spans="1:10">
      <c r="A139" s="2" t="s">
        <v>245</v>
      </c>
      <c r="B139" s="2">
        <f>B138+1</f>
        <v>1137</v>
      </c>
      <c r="C139" s="2">
        <v>5567</v>
      </c>
      <c r="D139" s="2" t="s">
        <v>272</v>
      </c>
      <c r="E139" s="5">
        <v>12</v>
      </c>
      <c r="F139" s="5">
        <v>25</v>
      </c>
      <c r="G139" s="5">
        <f>F139-E139</f>
        <v>13</v>
      </c>
      <c r="H139" s="9">
        <f>IF(F139&gt;50,G139*0.2,G139*0.1)</f>
        <v>1.3</v>
      </c>
      <c r="I139" s="2" t="s">
        <v>200</v>
      </c>
      <c r="J139" s="2" t="s">
        <v>273</v>
      </c>
    </row>
    <row r="140" spans="1:10">
      <c r="A140" s="2" t="s">
        <v>245</v>
      </c>
      <c r="B140" s="2">
        <f>B139+1</f>
        <v>1138</v>
      </c>
      <c r="C140" s="2">
        <v>5775</v>
      </c>
      <c r="D140" s="2" t="s">
        <v>274</v>
      </c>
      <c r="E140" s="5">
        <v>180</v>
      </c>
      <c r="F140" s="5">
        <v>210</v>
      </c>
      <c r="G140" s="5">
        <f>F140-E140</f>
        <v>30</v>
      </c>
      <c r="H140" s="9">
        <f>IF(F140&gt;50,G140*0.2,G140*0.1)</f>
        <v>6</v>
      </c>
      <c r="I140" s="2" t="s">
        <v>200</v>
      </c>
      <c r="J140" s="2" t="s">
        <v>275</v>
      </c>
    </row>
    <row r="141" spans="1:10">
      <c r="A141" s="2" t="s">
        <v>245</v>
      </c>
      <c r="B141" s="2">
        <f>B140+1</f>
        <v>1139</v>
      </c>
      <c r="C141" s="2">
        <v>7656</v>
      </c>
      <c r="D141" s="2" t="s">
        <v>276</v>
      </c>
      <c r="E141" s="5">
        <v>89</v>
      </c>
      <c r="F141" s="5">
        <v>112</v>
      </c>
      <c r="G141" s="5">
        <f>F141-E141</f>
        <v>23</v>
      </c>
      <c r="H141" s="9">
        <f>IF(F141&gt;50,G141*0.2,G141*0.1)</f>
        <v>4.6000000000000005</v>
      </c>
      <c r="I141" s="2" t="s">
        <v>200</v>
      </c>
      <c r="J141" s="2" t="s">
        <v>277</v>
      </c>
    </row>
    <row r="142" spans="1:10">
      <c r="A142" s="2" t="s">
        <v>278</v>
      </c>
      <c r="B142" s="2">
        <f>B141+1</f>
        <v>1140</v>
      </c>
      <c r="C142" s="2">
        <v>6788</v>
      </c>
      <c r="D142" s="2" t="s">
        <v>279</v>
      </c>
      <c r="E142" s="5">
        <v>354</v>
      </c>
      <c r="F142" s="5">
        <v>500</v>
      </c>
      <c r="G142" s="5">
        <f>F142-E142</f>
        <v>146</v>
      </c>
      <c r="H142" s="9">
        <f>IF(F142&gt;50,G142*0.2,G142*0.1)</f>
        <v>29.200000000000003</v>
      </c>
      <c r="I142" s="2" t="s">
        <v>200</v>
      </c>
      <c r="J142" s="2" t="s">
        <v>280</v>
      </c>
    </row>
    <row r="143" spans="1:10">
      <c r="A143" s="2" t="s">
        <v>278</v>
      </c>
      <c r="B143" s="2">
        <f>B142+1</f>
        <v>1141</v>
      </c>
      <c r="C143" s="2">
        <v>5667</v>
      </c>
      <c r="D143" s="2" t="s">
        <v>281</v>
      </c>
      <c r="E143" s="5">
        <v>30</v>
      </c>
      <c r="F143" s="5">
        <v>50</v>
      </c>
      <c r="G143" s="5">
        <f>F143-E143</f>
        <v>20</v>
      </c>
      <c r="H143" s="9">
        <f>IF(F143&gt;50,G143*0.2,G143*0.1)</f>
        <v>2</v>
      </c>
      <c r="I143" s="2" t="s">
        <v>200</v>
      </c>
      <c r="J143" s="2" t="s">
        <v>282</v>
      </c>
    </row>
    <row r="144" spans="1:10">
      <c r="A144" s="2" t="s">
        <v>278</v>
      </c>
      <c r="B144" s="2">
        <f>B143+1</f>
        <v>1142</v>
      </c>
      <c r="C144" s="2">
        <v>6565</v>
      </c>
      <c r="D144" s="2" t="s">
        <v>283</v>
      </c>
      <c r="E144" s="5">
        <v>878</v>
      </c>
      <c r="F144" s="5">
        <v>950</v>
      </c>
      <c r="G144" s="5">
        <f>F144-E144</f>
        <v>72</v>
      </c>
      <c r="H144" s="9">
        <f>IF(F144&gt;50,G144*0.2,G144*0.1)</f>
        <v>14.4</v>
      </c>
      <c r="I144" s="2" t="s">
        <v>200</v>
      </c>
      <c r="J144" s="2" t="s">
        <v>284</v>
      </c>
    </row>
    <row r="145" spans="1:10">
      <c r="A145" s="2" t="s">
        <v>278</v>
      </c>
      <c r="B145" s="2">
        <f>B144+1</f>
        <v>1143</v>
      </c>
      <c r="C145" s="2">
        <v>7675</v>
      </c>
      <c r="D145" s="2" t="s">
        <v>285</v>
      </c>
      <c r="E145" s="5">
        <v>11</v>
      </c>
      <c r="F145" s="5">
        <v>40</v>
      </c>
      <c r="G145" s="5">
        <f>F145-E145</f>
        <v>29</v>
      </c>
      <c r="H145" s="9">
        <f>IF(F145&gt;50,G145*0.2,G145*0.1)</f>
        <v>2.9000000000000004</v>
      </c>
      <c r="I145" s="2" t="s">
        <v>200</v>
      </c>
      <c r="J145" s="2" t="s">
        <v>286</v>
      </c>
    </row>
    <row r="146" spans="1:10">
      <c r="A146" s="2" t="s">
        <v>278</v>
      </c>
      <c r="B146" s="2">
        <f>B145+1</f>
        <v>1144</v>
      </c>
      <c r="C146" s="2">
        <v>8345</v>
      </c>
      <c r="D146" s="2" t="s">
        <v>287</v>
      </c>
      <c r="E146" s="5">
        <v>7</v>
      </c>
      <c r="F146" s="5">
        <v>16</v>
      </c>
      <c r="G146" s="5">
        <f>F146-E146</f>
        <v>9</v>
      </c>
      <c r="H146" s="9">
        <f>IF(F146&gt;50,G146*0.2,G146*0.1)</f>
        <v>0.9</v>
      </c>
      <c r="I146" s="2" t="s">
        <v>200</v>
      </c>
      <c r="J146" s="2" t="s">
        <v>286</v>
      </c>
    </row>
    <row r="147" spans="1:10">
      <c r="A147" s="2" t="s">
        <v>278</v>
      </c>
      <c r="B147" s="2">
        <f>B146+1</f>
        <v>1145</v>
      </c>
      <c r="C147" s="2">
        <v>4566</v>
      </c>
      <c r="D147" s="2" t="s">
        <v>288</v>
      </c>
      <c r="E147" s="5">
        <v>21</v>
      </c>
      <c r="F147" s="5">
        <v>31</v>
      </c>
      <c r="G147" s="5">
        <f>F147-E147</f>
        <v>10</v>
      </c>
      <c r="H147" s="9">
        <f>IF(F147&gt;50,G147*0.2,G147*0.1)</f>
        <v>1</v>
      </c>
      <c r="I147" s="2" t="s">
        <v>200</v>
      </c>
      <c r="J147" s="2" t="s">
        <v>289</v>
      </c>
    </row>
    <row r="148" spans="1:10">
      <c r="A148" s="2" t="s">
        <v>278</v>
      </c>
      <c r="B148" s="2">
        <f>B147+1</f>
        <v>1146</v>
      </c>
      <c r="C148" s="2">
        <v>5677</v>
      </c>
      <c r="D148" s="2" t="s">
        <v>290</v>
      </c>
      <c r="E148" s="5">
        <v>234</v>
      </c>
      <c r="F148" s="5">
        <v>300</v>
      </c>
      <c r="G148" s="5">
        <f>F148-E148</f>
        <v>66</v>
      </c>
      <c r="H148" s="9">
        <f>IF(F148&gt;50,G148*0.2,G148*0.1)</f>
        <v>13.200000000000001</v>
      </c>
      <c r="I148" s="2" t="s">
        <v>200</v>
      </c>
      <c r="J148" s="2" t="s">
        <v>291</v>
      </c>
    </row>
    <row r="149" spans="1:10">
      <c r="A149" s="2" t="s">
        <v>278</v>
      </c>
      <c r="B149" s="2">
        <f>B148+1</f>
        <v>1147</v>
      </c>
      <c r="C149" s="2">
        <v>6546</v>
      </c>
      <c r="D149" s="2" t="s">
        <v>292</v>
      </c>
      <c r="E149" s="5">
        <v>24</v>
      </c>
      <c r="F149" s="5">
        <v>50</v>
      </c>
      <c r="G149" s="5">
        <f>F149-E149</f>
        <v>26</v>
      </c>
      <c r="H149" s="9">
        <f>IF(F149&gt;50,G149*0.2,G149*0.1)</f>
        <v>2.6</v>
      </c>
      <c r="I149" s="2" t="s">
        <v>200</v>
      </c>
      <c r="J149" s="2" t="s">
        <v>76</v>
      </c>
    </row>
    <row r="150" spans="1:10">
      <c r="A150" s="2" t="s">
        <v>278</v>
      </c>
      <c r="B150" s="2">
        <f>B149+1</f>
        <v>1148</v>
      </c>
      <c r="C150" s="2">
        <v>6544</v>
      </c>
      <c r="D150" s="2" t="s">
        <v>293</v>
      </c>
      <c r="E150" s="5">
        <v>43</v>
      </c>
      <c r="F150" s="5">
        <v>60</v>
      </c>
      <c r="G150" s="5">
        <f>F150-E150</f>
        <v>17</v>
      </c>
      <c r="H150" s="9">
        <f>IF(F150&gt;50,G150*0.2,G150*0.1)</f>
        <v>3.4000000000000004</v>
      </c>
      <c r="I150" s="2" t="s">
        <v>200</v>
      </c>
      <c r="J150" s="2" t="s">
        <v>294</v>
      </c>
    </row>
    <row r="151" spans="1:10">
      <c r="A151" s="2" t="s">
        <v>278</v>
      </c>
      <c r="B151" s="2">
        <f>B150+1</f>
        <v>1149</v>
      </c>
      <c r="C151" s="2">
        <v>9800</v>
      </c>
      <c r="D151" s="2" t="s">
        <v>295</v>
      </c>
      <c r="E151" s="5">
        <v>44</v>
      </c>
      <c r="F151" s="5">
        <v>65</v>
      </c>
      <c r="G151" s="5">
        <f>F151-E151</f>
        <v>21</v>
      </c>
      <c r="H151" s="9">
        <f>IF(F151&gt;50,G151*0.2,G151*0.1)</f>
        <v>4.2</v>
      </c>
      <c r="I151" s="2" t="s">
        <v>200</v>
      </c>
      <c r="J151" s="2" t="s">
        <v>296</v>
      </c>
    </row>
    <row r="152" spans="1:10">
      <c r="A152" s="2" t="s">
        <v>278</v>
      </c>
      <c r="B152" s="2">
        <f>B151+1</f>
        <v>1150</v>
      </c>
      <c r="C152" s="2">
        <v>9001</v>
      </c>
      <c r="D152" s="2" t="s">
        <v>297</v>
      </c>
      <c r="E152" s="5">
        <v>21</v>
      </c>
      <c r="F152" s="5">
        <v>45</v>
      </c>
      <c r="G152" s="5">
        <f>F152-E152</f>
        <v>24</v>
      </c>
      <c r="H152" s="9">
        <f>IF(F152&gt;50,G152*0.2,G152*0.1)</f>
        <v>2.4000000000000004</v>
      </c>
      <c r="I152" s="2" t="s">
        <v>200</v>
      </c>
      <c r="J152" s="2" t="s">
        <v>298</v>
      </c>
    </row>
    <row r="153" spans="1:10">
      <c r="A153" s="2" t="s">
        <v>278</v>
      </c>
      <c r="B153" s="2">
        <f>B152+1</f>
        <v>1151</v>
      </c>
      <c r="C153" s="2">
        <v>9093</v>
      </c>
      <c r="D153" s="2" t="s">
        <v>299</v>
      </c>
      <c r="E153" s="5">
        <v>12</v>
      </c>
      <c r="F153" s="5">
        <v>40</v>
      </c>
      <c r="G153" s="5">
        <f>F153-E153</f>
        <v>28</v>
      </c>
      <c r="H153" s="9">
        <f>IF(F153&gt;50,G153*0.2,G153*0.1)</f>
        <v>2.8000000000000003</v>
      </c>
      <c r="I153" s="2" t="s">
        <v>200</v>
      </c>
      <c r="J153" s="2" t="s">
        <v>50</v>
      </c>
    </row>
    <row r="154" spans="1:10">
      <c r="A154" s="2" t="s">
        <v>278</v>
      </c>
      <c r="B154" s="2">
        <f>B153+1</f>
        <v>1152</v>
      </c>
      <c r="C154" s="2">
        <v>2393</v>
      </c>
      <c r="D154" s="2" t="s">
        <v>300</v>
      </c>
      <c r="E154" s="5">
        <v>44</v>
      </c>
      <c r="F154" s="5">
        <v>70</v>
      </c>
      <c r="G154" s="5">
        <f>F154-E154</f>
        <v>26</v>
      </c>
      <c r="H154" s="9">
        <f>IF(F154&gt;50,G154*0.2,G154*0.1)</f>
        <v>5.2</v>
      </c>
      <c r="I154" s="2" t="s">
        <v>200</v>
      </c>
      <c r="J154" s="2" t="s">
        <v>301</v>
      </c>
    </row>
    <row r="155" spans="1:10">
      <c r="A155" s="2" t="s">
        <v>278</v>
      </c>
      <c r="B155" s="2">
        <f>B154+1</f>
        <v>1153</v>
      </c>
      <c r="C155" s="2">
        <v>8287</v>
      </c>
      <c r="D155" s="2" t="s">
        <v>302</v>
      </c>
      <c r="E155" s="5">
        <v>43</v>
      </c>
      <c r="F155" s="5">
        <v>60</v>
      </c>
      <c r="G155" s="5">
        <f>F155-E155</f>
        <v>17</v>
      </c>
      <c r="H155" s="9">
        <f>IF(F155&gt;50,G155*0.2,G155*0.1)</f>
        <v>3.4000000000000004</v>
      </c>
      <c r="I155" s="2" t="s">
        <v>200</v>
      </c>
      <c r="J155" s="2" t="s">
        <v>18</v>
      </c>
    </row>
    <row r="156" spans="1:10">
      <c r="A156" s="2" t="s">
        <v>278</v>
      </c>
      <c r="B156" s="2">
        <f>B155+1</f>
        <v>1154</v>
      </c>
      <c r="C156" s="2">
        <v>8363</v>
      </c>
      <c r="D156" s="2" t="s">
        <v>303</v>
      </c>
      <c r="E156" s="5">
        <v>23</v>
      </c>
      <c r="F156" s="5">
        <v>50</v>
      </c>
      <c r="G156" s="5">
        <f>F156-E156</f>
        <v>27</v>
      </c>
      <c r="H156" s="9">
        <f>IF(F156&gt;50,G156*0.2,G156*0.1)</f>
        <v>2.7</v>
      </c>
      <c r="I156" s="2" t="s">
        <v>200</v>
      </c>
      <c r="J156" s="2" t="s">
        <v>18</v>
      </c>
    </row>
    <row r="157" spans="1:10">
      <c r="A157" s="2" t="s">
        <v>278</v>
      </c>
      <c r="B157" s="2">
        <f>B156+1</f>
        <v>1155</v>
      </c>
      <c r="C157" s="2">
        <v>3939</v>
      </c>
      <c r="D157" s="2" t="s">
        <v>304</v>
      </c>
      <c r="E157" s="5">
        <v>12</v>
      </c>
      <c r="F157" s="5">
        <v>36</v>
      </c>
      <c r="G157" s="5">
        <f>F157-E157</f>
        <v>24</v>
      </c>
      <c r="H157" s="9">
        <f>IF(F157&gt;50,G157*0.2,G157*0.1)</f>
        <v>2.4000000000000004</v>
      </c>
      <c r="I157" s="2" t="s">
        <v>200</v>
      </c>
      <c r="J157" s="2" t="s">
        <v>305</v>
      </c>
    </row>
    <row r="158" spans="1:10">
      <c r="A158" s="2" t="s">
        <v>278</v>
      </c>
      <c r="B158" s="2">
        <f>B157+1</f>
        <v>1156</v>
      </c>
      <c r="C158" s="2">
        <v>3833</v>
      </c>
      <c r="D158" s="2" t="s">
        <v>306</v>
      </c>
      <c r="E158" s="5">
        <v>12</v>
      </c>
      <c r="F158" s="5">
        <v>34</v>
      </c>
      <c r="G158" s="5">
        <f>F158-E158</f>
        <v>22</v>
      </c>
      <c r="H158" s="9">
        <f>IF(F158&gt;50,G158*0.2,G158*0.1)</f>
        <v>2.2000000000000002</v>
      </c>
      <c r="I158" s="2" t="s">
        <v>200</v>
      </c>
      <c r="J158" s="2" t="s">
        <v>307</v>
      </c>
    </row>
    <row r="159" spans="1:10">
      <c r="A159" s="2" t="s">
        <v>308</v>
      </c>
      <c r="B159" s="2">
        <f>B158+1</f>
        <v>1157</v>
      </c>
      <c r="C159" s="2">
        <v>1233</v>
      </c>
      <c r="D159" s="2" t="s">
        <v>309</v>
      </c>
      <c r="E159" s="5">
        <v>55</v>
      </c>
      <c r="F159" s="5">
        <v>70</v>
      </c>
      <c r="G159" s="5">
        <f>F159-E159</f>
        <v>15</v>
      </c>
      <c r="H159" s="9">
        <f>IF(F159&gt;50,G159*0.2,G159*0.1)</f>
        <v>3</v>
      </c>
      <c r="I159" s="2" t="s">
        <v>200</v>
      </c>
      <c r="J159" s="2" t="s">
        <v>310</v>
      </c>
    </row>
    <row r="160" spans="1:10">
      <c r="A160" s="2" t="s">
        <v>308</v>
      </c>
      <c r="B160" s="2">
        <f>B159+1</f>
        <v>1158</v>
      </c>
      <c r="C160" s="2">
        <v>1223</v>
      </c>
      <c r="D160" s="2" t="s">
        <v>311</v>
      </c>
      <c r="E160" s="5">
        <v>43</v>
      </c>
      <c r="F160" s="5">
        <v>56</v>
      </c>
      <c r="G160" s="5">
        <f>F160-E160</f>
        <v>13</v>
      </c>
      <c r="H160" s="9">
        <f>IF(F160&gt;50,G160*0.2,G160*0.1)</f>
        <v>2.6</v>
      </c>
      <c r="I160" s="2" t="s">
        <v>200</v>
      </c>
      <c r="J160" s="2" t="s">
        <v>312</v>
      </c>
    </row>
    <row r="161" spans="1:10">
      <c r="A161" s="2" t="s">
        <v>308</v>
      </c>
      <c r="B161" s="2">
        <f>B160+1</f>
        <v>1159</v>
      </c>
      <c r="C161" s="2">
        <v>1123</v>
      </c>
      <c r="D161" s="2" t="s">
        <v>313</v>
      </c>
      <c r="E161" s="5">
        <v>66</v>
      </c>
      <c r="F161" s="5">
        <v>81</v>
      </c>
      <c r="G161" s="5">
        <f>F161-E161</f>
        <v>15</v>
      </c>
      <c r="H161" s="9">
        <f>IF(F161&gt;50,G161*0.2,G161*0.1)</f>
        <v>3</v>
      </c>
      <c r="I161" s="2" t="s">
        <v>200</v>
      </c>
      <c r="J161" s="2" t="s">
        <v>314</v>
      </c>
    </row>
    <row r="162" spans="1:10">
      <c r="A162" s="2" t="s">
        <v>308</v>
      </c>
      <c r="B162" s="2">
        <f>B161+1</f>
        <v>1160</v>
      </c>
      <c r="C162" s="2">
        <v>1322</v>
      </c>
      <c r="D162" s="2" t="s">
        <v>315</v>
      </c>
      <c r="E162" s="5">
        <v>45</v>
      </c>
      <c r="F162" s="5">
        <v>65</v>
      </c>
      <c r="G162" s="5">
        <f>F162-E162</f>
        <v>20</v>
      </c>
      <c r="H162" s="9">
        <f>IF(F162&gt;50,G162*0.2,G162*0.1)</f>
        <v>4</v>
      </c>
      <c r="I162" s="2" t="s">
        <v>200</v>
      </c>
      <c r="J162" s="2" t="s">
        <v>316</v>
      </c>
    </row>
    <row r="163" spans="1:10">
      <c r="A163" s="2" t="s">
        <v>308</v>
      </c>
      <c r="B163" s="2">
        <f>B162+1</f>
        <v>1161</v>
      </c>
      <c r="C163" s="2">
        <v>1332</v>
      </c>
      <c r="D163" s="2" t="s">
        <v>317</v>
      </c>
      <c r="E163" s="5">
        <v>34</v>
      </c>
      <c r="F163" s="5">
        <v>54</v>
      </c>
      <c r="G163" s="5">
        <f>F163-E163</f>
        <v>20</v>
      </c>
      <c r="H163" s="9">
        <f>IF(F163&gt;50,G163*0.2,G163*0.1)</f>
        <v>4</v>
      </c>
      <c r="I163" s="2" t="s">
        <v>200</v>
      </c>
      <c r="J163" s="2" t="s">
        <v>318</v>
      </c>
    </row>
    <row r="164" spans="1:10">
      <c r="A164" s="2" t="s">
        <v>308</v>
      </c>
      <c r="B164" s="2">
        <f>B163+1</f>
        <v>1162</v>
      </c>
      <c r="C164" s="2">
        <v>1222</v>
      </c>
      <c r="D164" s="2" t="s">
        <v>319</v>
      </c>
      <c r="E164" s="5">
        <v>23</v>
      </c>
      <c r="F164" s="5">
        <v>45</v>
      </c>
      <c r="G164" s="5">
        <f>F164-E164</f>
        <v>22</v>
      </c>
      <c r="H164" s="9">
        <f>IF(F164&gt;50,G164*0.2,G164*0.1)</f>
        <v>2.2000000000000002</v>
      </c>
      <c r="I164" s="2" t="s">
        <v>200</v>
      </c>
      <c r="J164" s="2" t="s">
        <v>320</v>
      </c>
    </row>
    <row r="165" spans="1:10">
      <c r="A165" s="2" t="s">
        <v>308</v>
      </c>
      <c r="B165" s="2">
        <f>B164+1</f>
        <v>1163</v>
      </c>
      <c r="C165" s="2">
        <v>1443</v>
      </c>
      <c r="D165" s="2" t="s">
        <v>321</v>
      </c>
      <c r="E165" s="5">
        <v>56</v>
      </c>
      <c r="F165" s="5">
        <v>74</v>
      </c>
      <c r="G165" s="5">
        <f>F165-E165</f>
        <v>18</v>
      </c>
      <c r="H165" s="9">
        <f>IF(F165&gt;50,G165*0.2,G165*0.1)</f>
        <v>3.6</v>
      </c>
      <c r="I165" s="2" t="s">
        <v>200</v>
      </c>
      <c r="J165" s="2" t="s">
        <v>131</v>
      </c>
    </row>
    <row r="166" spans="1:10">
      <c r="A166" s="2" t="s">
        <v>308</v>
      </c>
      <c r="B166" s="2">
        <f>B165+1</f>
        <v>1164</v>
      </c>
      <c r="C166" s="2">
        <v>1223</v>
      </c>
      <c r="D166" s="2" t="s">
        <v>322</v>
      </c>
      <c r="E166" s="5">
        <v>12</v>
      </c>
      <c r="F166" s="5">
        <v>55</v>
      </c>
      <c r="G166" s="5">
        <f>F166-E166</f>
        <v>43</v>
      </c>
      <c r="H166" s="9">
        <f>IF(F166&gt;50,G166*0.2,G166*0.1)</f>
        <v>8.6</v>
      </c>
      <c r="I166" s="2" t="s">
        <v>200</v>
      </c>
      <c r="J166" s="2" t="s">
        <v>323</v>
      </c>
    </row>
    <row r="167" spans="1:10">
      <c r="A167" s="2" t="s">
        <v>308</v>
      </c>
      <c r="B167" s="2">
        <f>B166+1</f>
        <v>1165</v>
      </c>
      <c r="C167" s="2">
        <v>3212</v>
      </c>
      <c r="D167" s="2" t="s">
        <v>324</v>
      </c>
      <c r="E167" s="5">
        <v>11</v>
      </c>
      <c r="F167" s="5">
        <v>43</v>
      </c>
      <c r="G167" s="5">
        <f>F167-E167</f>
        <v>32</v>
      </c>
      <c r="H167" s="9">
        <f>IF(F167&gt;50,G167*0.2,G167*0.1)</f>
        <v>3.2</v>
      </c>
      <c r="I167" s="2" t="s">
        <v>200</v>
      </c>
      <c r="J167" s="2" t="s">
        <v>325</v>
      </c>
    </row>
    <row r="168" spans="1:10">
      <c r="A168" s="2" t="s">
        <v>308</v>
      </c>
      <c r="B168" s="2">
        <f>B167+1</f>
        <v>1166</v>
      </c>
      <c r="C168" s="2">
        <v>5454</v>
      </c>
      <c r="D168" s="2" t="s">
        <v>326</v>
      </c>
      <c r="E168" s="5">
        <v>55</v>
      </c>
      <c r="F168" s="5">
        <v>72</v>
      </c>
      <c r="G168" s="5">
        <f>F168-E168</f>
        <v>17</v>
      </c>
      <c r="H168" s="9">
        <f>IF(F168&gt;50,G168*0.2,G168*0.1)</f>
        <v>3.4000000000000004</v>
      </c>
      <c r="I168" s="2" t="s">
        <v>200</v>
      </c>
      <c r="J168" s="2" t="s">
        <v>327</v>
      </c>
    </row>
    <row r="169" spans="1:10">
      <c r="A169" s="2" t="s">
        <v>308</v>
      </c>
      <c r="B169" s="2">
        <f>B168+1</f>
        <v>1167</v>
      </c>
      <c r="C169" s="2">
        <v>5001</v>
      </c>
      <c r="D169" s="2" t="s">
        <v>328</v>
      </c>
      <c r="E169" s="5">
        <v>14</v>
      </c>
      <c r="F169" s="5">
        <v>24</v>
      </c>
      <c r="G169" s="5">
        <f>F169-E169</f>
        <v>10</v>
      </c>
      <c r="H169" s="9">
        <f>IF(F169&gt;50,G169*0.2,G169*0.1)</f>
        <v>1</v>
      </c>
      <c r="I169" s="2" t="s">
        <v>200</v>
      </c>
      <c r="J169" s="2" t="s">
        <v>329</v>
      </c>
    </row>
    <row r="170" spans="1:10">
      <c r="A170" s="2" t="s">
        <v>308</v>
      </c>
      <c r="B170" s="2">
        <f>B169+1</f>
        <v>1168</v>
      </c>
      <c r="C170" s="2">
        <v>5854</v>
      </c>
      <c r="D170" s="2" t="s">
        <v>330</v>
      </c>
      <c r="E170" s="5">
        <v>4</v>
      </c>
      <c r="F170" s="5">
        <v>18</v>
      </c>
      <c r="G170" s="5">
        <f>F170-E170</f>
        <v>14</v>
      </c>
      <c r="H170" s="9">
        <f>IF(F170&gt;50,G170*0.2,G170*0.1)</f>
        <v>1.4000000000000001</v>
      </c>
      <c r="I170" s="2" t="s">
        <v>200</v>
      </c>
      <c r="J170" s="2" t="s">
        <v>331</v>
      </c>
    </row>
    <row r="171" spans="1:10">
      <c r="A171" s="2" t="s">
        <v>308</v>
      </c>
      <c r="B171" s="2">
        <f>B170+1</f>
        <v>1169</v>
      </c>
      <c r="C171" s="2">
        <v>7000</v>
      </c>
      <c r="D171" s="2" t="s">
        <v>332</v>
      </c>
      <c r="E171" s="5">
        <v>4</v>
      </c>
      <c r="F171" s="5">
        <v>16</v>
      </c>
      <c r="G171" s="5">
        <f>F171-E171</f>
        <v>12</v>
      </c>
      <c r="H171" s="9">
        <f>IF(F171&gt;50,G171*0.2,G171*0.1)</f>
        <v>1.2000000000000002</v>
      </c>
      <c r="I171" s="2" t="s">
        <v>200</v>
      </c>
      <c r="J171" s="2" t="s">
        <v>333</v>
      </c>
    </row>
    <row r="172" spans="1:10">
      <c r="A172" s="2" t="s">
        <v>308</v>
      </c>
      <c r="B172" s="2">
        <f>B171+1</f>
        <v>1170</v>
      </c>
      <c r="C172" s="2">
        <v>7898</v>
      </c>
      <c r="D172" s="2" t="s">
        <v>334</v>
      </c>
      <c r="E172" s="5">
        <v>23</v>
      </c>
      <c r="F172" s="5">
        <v>45</v>
      </c>
      <c r="G172" s="5">
        <f>F172-E172</f>
        <v>22</v>
      </c>
      <c r="H172" s="9">
        <f>IF(F172&gt;50,G172*0.2,G172*0.1)</f>
        <v>2.2000000000000002</v>
      </c>
      <c r="I172" s="2" t="s">
        <v>200</v>
      </c>
      <c r="J172" s="2" t="s">
        <v>335</v>
      </c>
    </row>
    <row r="173" spans="1:10">
      <c r="A173" s="2" t="s">
        <v>308</v>
      </c>
      <c r="B173" s="2">
        <f>B172+1</f>
        <v>1171</v>
      </c>
      <c r="C173" s="2">
        <v>7988</v>
      </c>
      <c r="D173" s="2" t="s">
        <v>336</v>
      </c>
      <c r="E173" s="5">
        <v>25</v>
      </c>
      <c r="F173" s="5">
        <v>50</v>
      </c>
      <c r="G173" s="5">
        <f>F173-E173</f>
        <v>25</v>
      </c>
      <c r="H173" s="9">
        <f>IF(F173&gt;50,G173*0.2,G173*0.1)</f>
        <v>2.5</v>
      </c>
      <c r="I173" s="2" t="s">
        <v>200</v>
      </c>
      <c r="J173" s="2" t="s">
        <v>337</v>
      </c>
    </row>
    <row r="174" spans="1:10">
      <c r="A174" s="2" t="s">
        <v>308</v>
      </c>
      <c r="B174" s="2">
        <f>B173+1</f>
        <v>1172</v>
      </c>
      <c r="C174" s="2">
        <v>7999</v>
      </c>
      <c r="D174" s="2" t="s">
        <v>338</v>
      </c>
      <c r="E174" s="5">
        <v>51</v>
      </c>
      <c r="F174" s="5">
        <v>78</v>
      </c>
      <c r="G174" s="5">
        <f>F174-E174</f>
        <v>27</v>
      </c>
      <c r="H174" s="9">
        <f>IF(F174&gt;50,G174*0.2,G174*0.1)</f>
        <v>5.4</v>
      </c>
      <c r="I174" s="2" t="s">
        <v>200</v>
      </c>
      <c r="J174" s="2" t="s">
        <v>339</v>
      </c>
    </row>
    <row r="175" spans="1:10">
      <c r="A175" s="2" t="s">
        <v>308</v>
      </c>
      <c r="B175" s="2">
        <f>B174+1</f>
        <v>1173</v>
      </c>
      <c r="C175" s="2">
        <v>9887</v>
      </c>
      <c r="D175" s="2" t="s">
        <v>340</v>
      </c>
      <c r="E175" s="5">
        <v>11</v>
      </c>
      <c r="F175" s="5">
        <v>56</v>
      </c>
      <c r="G175" s="5">
        <f>F175-E175</f>
        <v>45</v>
      </c>
      <c r="H175" s="9">
        <f>IF(F175&gt;50,G175*0.2,G175*0.1)</f>
        <v>9</v>
      </c>
      <c r="I175" s="2" t="s">
        <v>200</v>
      </c>
      <c r="J175" s="2" t="s">
        <v>341</v>
      </c>
    </row>
    <row r="176" spans="1:10">
      <c r="A176" s="2" t="s">
        <v>308</v>
      </c>
      <c r="B176" s="2">
        <f>B175+1</f>
        <v>1174</v>
      </c>
      <c r="C176" s="2">
        <v>9987</v>
      </c>
      <c r="D176" s="2" t="s">
        <v>342</v>
      </c>
      <c r="E176" s="5">
        <v>10</v>
      </c>
      <c r="F176" s="5">
        <v>34</v>
      </c>
      <c r="G176" s="5">
        <f>F176-E176</f>
        <v>24</v>
      </c>
      <c r="H176" s="9">
        <f>IF(F176&gt;50,G176*0.2,G176*0.1)</f>
        <v>2.4000000000000004</v>
      </c>
      <c r="I176" s="2" t="s">
        <v>200</v>
      </c>
      <c r="J176" s="2" t="s">
        <v>343</v>
      </c>
    </row>
    <row r="177" spans="1:10">
      <c r="A177" s="2" t="s">
        <v>344</v>
      </c>
      <c r="B177" s="2">
        <f>B176+1</f>
        <v>1175</v>
      </c>
      <c r="C177" s="2">
        <v>7568</v>
      </c>
      <c r="D177" s="2" t="s">
        <v>345</v>
      </c>
      <c r="E177" s="5">
        <v>12</v>
      </c>
      <c r="F177" s="5">
        <v>54</v>
      </c>
      <c r="G177" s="5">
        <f>F177-E177</f>
        <v>42</v>
      </c>
      <c r="H177" s="9">
        <f>IF(F177&gt;50,G177*0.2,G177*0.1)</f>
        <v>8.4</v>
      </c>
      <c r="I177" s="2" t="s">
        <v>200</v>
      </c>
      <c r="J177" s="2" t="s">
        <v>346</v>
      </c>
    </row>
    <row r="178" spans="1:10">
      <c r="A178" s="2" t="s">
        <v>344</v>
      </c>
      <c r="B178" s="2">
        <f>B177+1</f>
        <v>1176</v>
      </c>
      <c r="C178" s="2">
        <v>8766</v>
      </c>
      <c r="D178" s="2" t="s">
        <v>347</v>
      </c>
      <c r="E178" s="5">
        <v>34</v>
      </c>
      <c r="F178" s="5">
        <v>54</v>
      </c>
      <c r="G178" s="5">
        <f>F178-E178</f>
        <v>20</v>
      </c>
      <c r="H178" s="9">
        <f>IF(F178&gt;50,G178*0.2,G178*0.1)</f>
        <v>4</v>
      </c>
      <c r="I178" s="2" t="s">
        <v>200</v>
      </c>
      <c r="J178" s="2" t="s">
        <v>348</v>
      </c>
    </row>
    <row r="179" spans="1:10">
      <c r="A179" s="2" t="s">
        <v>344</v>
      </c>
      <c r="B179" s="2">
        <f>B178+1</f>
        <v>1177</v>
      </c>
      <c r="C179" s="2">
        <v>8921</v>
      </c>
      <c r="D179" s="2" t="s">
        <v>349</v>
      </c>
      <c r="E179" s="5">
        <v>32</v>
      </c>
      <c r="F179" s="5">
        <v>67</v>
      </c>
      <c r="G179" s="5">
        <f>F179-E179</f>
        <v>35</v>
      </c>
      <c r="H179" s="9">
        <f>IF(F179&gt;50,G179*0.2,G179*0.1)</f>
        <v>7</v>
      </c>
      <c r="I179" s="2" t="s">
        <v>200</v>
      </c>
      <c r="J179" s="2" t="s">
        <v>350</v>
      </c>
    </row>
    <row r="180" spans="1:10">
      <c r="A180" s="2" t="s">
        <v>344</v>
      </c>
      <c r="B180" s="2">
        <f>B179+1</f>
        <v>1178</v>
      </c>
      <c r="C180" s="2">
        <v>8821</v>
      </c>
      <c r="D180" s="2" t="s">
        <v>351</v>
      </c>
      <c r="E180" s="5">
        <v>44</v>
      </c>
      <c r="F180" s="5">
        <v>67</v>
      </c>
      <c r="G180" s="5">
        <f>F180-E180</f>
        <v>23</v>
      </c>
      <c r="H180" s="9">
        <f>IF(F180&gt;50,G180*0.2,G180*0.1)</f>
        <v>4.6000000000000005</v>
      </c>
      <c r="I180" s="2" t="s">
        <v>200</v>
      </c>
      <c r="J180" s="2" t="s">
        <v>352</v>
      </c>
    </row>
    <row r="181" spans="1:10">
      <c r="A181" s="2" t="s">
        <v>344</v>
      </c>
      <c r="B181" s="2">
        <f>B180+1</f>
        <v>1179</v>
      </c>
      <c r="C181" s="2">
        <v>1827</v>
      </c>
      <c r="D181" s="2" t="s">
        <v>353</v>
      </c>
      <c r="E181" s="5">
        <v>32</v>
      </c>
      <c r="F181" s="5">
        <v>87</v>
      </c>
      <c r="G181" s="5">
        <f>F181-E181</f>
        <v>55</v>
      </c>
      <c r="H181" s="9">
        <f>IF(F181&gt;50,G181*0.2,G181*0.1)</f>
        <v>11</v>
      </c>
      <c r="I181" s="2" t="s">
        <v>200</v>
      </c>
      <c r="J181" s="2" t="s">
        <v>354</v>
      </c>
    </row>
    <row r="182" spans="1:10">
      <c r="A182" s="2" t="s">
        <v>344</v>
      </c>
      <c r="B182" s="2">
        <f>B181+1</f>
        <v>1180</v>
      </c>
      <c r="C182" s="2">
        <v>1808</v>
      </c>
      <c r="D182" s="2" t="s">
        <v>355</v>
      </c>
      <c r="E182" s="5">
        <v>12</v>
      </c>
      <c r="F182" s="5">
        <v>32</v>
      </c>
      <c r="G182" s="5">
        <f>F182-E182</f>
        <v>20</v>
      </c>
      <c r="H182" s="9">
        <f>IF(F182&gt;50,G182*0.2,G182*0.1)</f>
        <v>2</v>
      </c>
      <c r="I182" s="2" t="s">
        <v>200</v>
      </c>
      <c r="J182" s="2" t="s">
        <v>356</v>
      </c>
    </row>
    <row r="183" spans="1:10">
      <c r="A183" s="2" t="s">
        <v>344</v>
      </c>
      <c r="B183" s="2">
        <f>B182+1</f>
        <v>1181</v>
      </c>
      <c r="C183" s="2">
        <v>8080</v>
      </c>
      <c r="D183" s="2" t="s">
        <v>357</v>
      </c>
      <c r="E183" s="5">
        <v>12</v>
      </c>
      <c r="F183" s="5">
        <v>40</v>
      </c>
      <c r="G183" s="5">
        <f>F183-E183</f>
        <v>28</v>
      </c>
      <c r="H183" s="9">
        <f>IF(F183&gt;50,G183*0.2,G183*0.1)</f>
        <v>2.8000000000000003</v>
      </c>
      <c r="I183" s="2" t="s">
        <v>200</v>
      </c>
      <c r="J183" s="2" t="s">
        <v>358</v>
      </c>
    </row>
    <row r="184" spans="1:10">
      <c r="A184" s="2" t="s">
        <v>344</v>
      </c>
      <c r="B184" s="2">
        <f>B183+1</f>
        <v>1182</v>
      </c>
      <c r="C184" s="2">
        <v>8181</v>
      </c>
      <c r="D184" s="2" t="s">
        <v>359</v>
      </c>
      <c r="E184" s="5">
        <v>34</v>
      </c>
      <c r="F184" s="5">
        <v>56</v>
      </c>
      <c r="G184" s="5">
        <f>F184-E184</f>
        <v>22</v>
      </c>
      <c r="H184" s="9">
        <f>IF(F184&gt;50,G184*0.2,G184*0.1)</f>
        <v>4.4000000000000004</v>
      </c>
      <c r="I184" s="2" t="s">
        <v>200</v>
      </c>
      <c r="J184" s="2" t="s">
        <v>101</v>
      </c>
    </row>
    <row r="185" spans="1:10">
      <c r="A185" s="2" t="s">
        <v>344</v>
      </c>
      <c r="B185" s="2">
        <f>B184+1</f>
        <v>1183</v>
      </c>
      <c r="C185" s="2">
        <v>4141</v>
      </c>
      <c r="D185" s="2" t="s">
        <v>360</v>
      </c>
      <c r="E185" s="5">
        <v>32</v>
      </c>
      <c r="F185" s="5">
        <v>54</v>
      </c>
      <c r="G185" s="5">
        <f>F185-E185</f>
        <v>22</v>
      </c>
      <c r="H185" s="9">
        <f>IF(F185&gt;50,G185*0.2,G185*0.1)</f>
        <v>4.4000000000000004</v>
      </c>
      <c r="I185" s="2" t="s">
        <v>200</v>
      </c>
      <c r="J185" s="2" t="s">
        <v>361</v>
      </c>
    </row>
    <row r="186" spans="1:10">
      <c r="A186" s="2" t="s">
        <v>344</v>
      </c>
      <c r="B186" s="2">
        <f>B185+1</f>
        <v>1184</v>
      </c>
      <c r="C186" s="2">
        <v>2323</v>
      </c>
      <c r="D186" s="2" t="s">
        <v>362</v>
      </c>
      <c r="E186" s="5">
        <v>12</v>
      </c>
      <c r="F186" s="5">
        <v>31</v>
      </c>
      <c r="G186" s="5">
        <f>F186-E186</f>
        <v>19</v>
      </c>
      <c r="H186" s="9">
        <f>IF(F186&gt;50,G186*0.2,G186*0.1)</f>
        <v>1.9000000000000001</v>
      </c>
      <c r="I186" s="2" t="s">
        <v>200</v>
      </c>
      <c r="J186" s="2" t="s">
        <v>363</v>
      </c>
    </row>
    <row r="187" spans="1:10">
      <c r="A187" s="2" t="s">
        <v>344</v>
      </c>
      <c r="B187" s="2">
        <f>B186+1</f>
        <v>1185</v>
      </c>
      <c r="C187" s="2">
        <v>2423</v>
      </c>
      <c r="D187" s="2" t="s">
        <v>364</v>
      </c>
      <c r="E187" s="5">
        <v>12</v>
      </c>
      <c r="F187" s="5">
        <v>32</v>
      </c>
      <c r="G187" s="5">
        <f>F187-E187</f>
        <v>20</v>
      </c>
      <c r="H187" s="9">
        <f>IF(F187&gt;50,G187*0.2,G187*0.1)</f>
        <v>2</v>
      </c>
      <c r="I187" s="2" t="s">
        <v>200</v>
      </c>
      <c r="J187" s="2" t="s">
        <v>365</v>
      </c>
    </row>
    <row r="188" spans="1:10">
      <c r="A188" s="2" t="s">
        <v>344</v>
      </c>
      <c r="B188" s="2">
        <f>B187+1</f>
        <v>1186</v>
      </c>
      <c r="C188" s="2">
        <v>2324</v>
      </c>
      <c r="D188" s="2" t="s">
        <v>366</v>
      </c>
      <c r="E188" s="5">
        <v>34</v>
      </c>
      <c r="F188" s="5">
        <v>47</v>
      </c>
      <c r="G188" s="5">
        <f>F188-E188</f>
        <v>13</v>
      </c>
      <c r="H188" s="9">
        <f>IF(F188&gt;50,G188*0.2,G188*0.1)</f>
        <v>1.3</v>
      </c>
      <c r="I188" s="2" t="s">
        <v>200</v>
      </c>
      <c r="J188" s="2" t="s">
        <v>367</v>
      </c>
    </row>
    <row r="189" spans="1:10">
      <c r="A189" s="2" t="s">
        <v>344</v>
      </c>
      <c r="B189" s="2">
        <f>B188+1</f>
        <v>1187</v>
      </c>
      <c r="C189" s="2">
        <v>6723</v>
      </c>
      <c r="D189" s="2" t="s">
        <v>368</v>
      </c>
      <c r="E189" s="5">
        <v>12</v>
      </c>
      <c r="F189" s="5">
        <v>50</v>
      </c>
      <c r="G189" s="5">
        <f>F189-E189</f>
        <v>38</v>
      </c>
      <c r="H189" s="9">
        <f>IF(F189&gt;50,G189*0.2,G189*0.1)</f>
        <v>3.8000000000000003</v>
      </c>
      <c r="I189" s="2" t="s">
        <v>200</v>
      </c>
      <c r="J189" s="2" t="s">
        <v>369</v>
      </c>
    </row>
    <row r="190" spans="1:10">
      <c r="A190" s="2" t="s">
        <v>344</v>
      </c>
      <c r="B190" s="2">
        <f>B189+1</f>
        <v>1188</v>
      </c>
      <c r="C190" s="2">
        <v>2342</v>
      </c>
      <c r="D190" s="2" t="s">
        <v>370</v>
      </c>
      <c r="E190" s="5">
        <v>12</v>
      </c>
      <c r="F190" s="5">
        <v>80</v>
      </c>
      <c r="G190" s="5">
        <f>F190-E190</f>
        <v>68</v>
      </c>
      <c r="H190" s="9">
        <f>IF(F190&gt;50,G190*0.2,G190*0.1)</f>
        <v>13.600000000000001</v>
      </c>
      <c r="I190" s="2" t="s">
        <v>200</v>
      </c>
      <c r="J190" s="2" t="s">
        <v>371</v>
      </c>
    </row>
    <row r="191" spans="1:10">
      <c r="A191" s="2" t="s">
        <v>344</v>
      </c>
      <c r="B191" s="2">
        <f>B190+1</f>
        <v>1189</v>
      </c>
      <c r="C191" s="2">
        <v>2121</v>
      </c>
      <c r="D191" s="2" t="s">
        <v>270</v>
      </c>
      <c r="E191" s="5">
        <v>1</v>
      </c>
      <c r="F191" s="5">
        <v>21</v>
      </c>
      <c r="G191" s="5">
        <f>F191-E191</f>
        <v>20</v>
      </c>
      <c r="H191" s="9">
        <f>IF(F191&gt;50,G191*0.2,G191*0.1)</f>
        <v>2</v>
      </c>
      <c r="I191" s="2" t="s">
        <v>200</v>
      </c>
      <c r="J191" s="2" t="s">
        <v>32</v>
      </c>
    </row>
    <row r="192" spans="1:10">
      <c r="A192" s="2" t="s">
        <v>344</v>
      </c>
      <c r="B192" s="2">
        <f>B191+1</f>
        <v>1190</v>
      </c>
      <c r="C192" s="2">
        <v>2167</v>
      </c>
      <c r="D192" s="2" t="s">
        <v>372</v>
      </c>
      <c r="E192" s="5">
        <v>21</v>
      </c>
      <c r="F192" s="5">
        <v>43</v>
      </c>
      <c r="G192" s="5">
        <f>F192-E192</f>
        <v>22</v>
      </c>
      <c r="H192" s="9">
        <f>IF(F192&gt;50,G192*0.2,G192*0.1)</f>
        <v>2.2000000000000002</v>
      </c>
      <c r="I192" s="2" t="s">
        <v>200</v>
      </c>
      <c r="J192" s="2" t="s">
        <v>373</v>
      </c>
    </row>
    <row r="193" spans="1:10">
      <c r="A193" s="2" t="s">
        <v>344</v>
      </c>
      <c r="B193" s="2">
        <f>B192+1</f>
        <v>1191</v>
      </c>
      <c r="C193" s="2">
        <v>6721</v>
      </c>
      <c r="D193" s="2" t="s">
        <v>374</v>
      </c>
      <c r="E193" s="5">
        <v>234</v>
      </c>
      <c r="F193" s="5">
        <v>300</v>
      </c>
      <c r="G193" s="5">
        <f>F193-E193</f>
        <v>66</v>
      </c>
      <c r="H193" s="9">
        <f>IF(F193&gt;50,G193*0.2,G193*0.1)</f>
        <v>13.200000000000001</v>
      </c>
      <c r="I193" s="2" t="s">
        <v>200</v>
      </c>
      <c r="J193" s="2" t="s">
        <v>375</v>
      </c>
    </row>
    <row r="194" spans="1:10">
      <c r="A194" s="2" t="s">
        <v>344</v>
      </c>
      <c r="B194" s="2">
        <f>B193+1</f>
        <v>1192</v>
      </c>
      <c r="C194" s="2">
        <v>6897</v>
      </c>
      <c r="D194" s="2" t="s">
        <v>376</v>
      </c>
      <c r="E194" s="5">
        <v>42</v>
      </c>
      <c r="F194" s="5">
        <v>100</v>
      </c>
      <c r="G194" s="5">
        <f>F194-E194</f>
        <v>58</v>
      </c>
      <c r="H194" s="9">
        <f>IF(F194&gt;50,G194*0.2,G194*0.1)</f>
        <v>11.600000000000001</v>
      </c>
      <c r="I194" s="2" t="s">
        <v>200</v>
      </c>
      <c r="J194" s="2" t="s">
        <v>375</v>
      </c>
    </row>
    <row r="195" spans="1:10">
      <c r="A195" s="2" t="s">
        <v>377</v>
      </c>
      <c r="B195" s="2">
        <f>B194+1</f>
        <v>1193</v>
      </c>
      <c r="C195" s="2">
        <v>1197</v>
      </c>
      <c r="D195" s="2" t="s">
        <v>378</v>
      </c>
      <c r="E195" s="5">
        <v>32</v>
      </c>
      <c r="F195" s="5">
        <v>60</v>
      </c>
      <c r="G195" s="5">
        <f>F195-E195</f>
        <v>28</v>
      </c>
      <c r="H195" s="9">
        <f>IF(F195&gt;50,G195*0.2,G195*0.1)</f>
        <v>5.6000000000000005</v>
      </c>
      <c r="I195" s="2" t="s">
        <v>200</v>
      </c>
      <c r="J195" s="2" t="s">
        <v>379</v>
      </c>
    </row>
    <row r="197" spans="1:10">
      <c r="A197" s="2" t="s">
        <v>380</v>
      </c>
      <c r="F197" s="5">
        <f>SUM(F2:F195)</f>
        <v>21787</v>
      </c>
    </row>
    <row r="198" spans="1:10">
      <c r="A198" s="2" t="s">
        <v>381</v>
      </c>
      <c r="F198" s="2">
        <f>SUMIF(F2:F195,"&gt;50")</f>
        <v>18949</v>
      </c>
    </row>
    <row r="199" spans="1:10">
      <c r="A199" s="2" t="s">
        <v>382</v>
      </c>
      <c r="F199" s="2">
        <f>SUMIF(F2:F195,"&lt;50")</f>
        <v>2388</v>
      </c>
    </row>
  </sheetData>
  <autoFilter ref="A1:K195" xr:uid="{00000000-0001-0000-0000-000000000000}"/>
  <sortState xmlns:xlrd2="http://schemas.microsoft.com/office/spreadsheetml/2017/richdata2" ref="J2:J196">
    <sortCondition ref="J2:J19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29B02-6943-499D-8CA2-F72A14475A5D}">
  <dimension ref="A1:B89"/>
  <sheetViews>
    <sheetView workbookViewId="0"/>
  </sheetViews>
  <sheetFormatPr defaultRowHeight="15"/>
  <cols>
    <col min="1" max="1" width="12.7109375" bestFit="1" customWidth="1"/>
    <col min="2" max="2" width="16.42578125" bestFit="1" customWidth="1"/>
  </cols>
  <sheetData>
    <row r="1" spans="1:2">
      <c r="A1" t="s">
        <v>383</v>
      </c>
    </row>
    <row r="3" spans="1:2">
      <c r="A3" s="10" t="s">
        <v>9</v>
      </c>
      <c r="B3" t="s">
        <v>384</v>
      </c>
    </row>
    <row r="4" spans="1:2">
      <c r="A4" t="s">
        <v>13</v>
      </c>
      <c r="B4" s="12">
        <v>41</v>
      </c>
    </row>
    <row r="5" spans="1:2">
      <c r="A5" t="s">
        <v>19</v>
      </c>
      <c r="B5" s="12">
        <v>30</v>
      </c>
    </row>
    <row r="6" spans="1:2">
      <c r="A6" t="s">
        <v>23</v>
      </c>
      <c r="B6" s="12">
        <v>13987</v>
      </c>
    </row>
    <row r="7" spans="1:2">
      <c r="A7" t="s">
        <v>220</v>
      </c>
      <c r="B7" s="12">
        <v>68</v>
      </c>
    </row>
    <row r="8" spans="1:2">
      <c r="A8" t="s">
        <v>222</v>
      </c>
      <c r="B8" s="12">
        <v>62</v>
      </c>
    </row>
    <row r="9" spans="1:2">
      <c r="A9" t="s">
        <v>80</v>
      </c>
      <c r="B9" s="12">
        <v>51</v>
      </c>
    </row>
    <row r="10" spans="1:2">
      <c r="A10" t="s">
        <v>35</v>
      </c>
      <c r="B10" s="12">
        <v>50</v>
      </c>
    </row>
    <row r="11" spans="1:2">
      <c r="A11" t="s">
        <v>226</v>
      </c>
      <c r="B11" s="12">
        <v>61</v>
      </c>
    </row>
    <row r="12" spans="1:2">
      <c r="A12" t="s">
        <v>228</v>
      </c>
      <c r="B12" s="12">
        <v>30</v>
      </c>
    </row>
    <row r="13" spans="1:2">
      <c r="A13" t="s">
        <v>230</v>
      </c>
      <c r="B13" s="12">
        <v>32</v>
      </c>
    </row>
    <row r="14" spans="1:2">
      <c r="A14" t="s">
        <v>232</v>
      </c>
      <c r="B14" s="12">
        <v>53</v>
      </c>
    </row>
    <row r="15" spans="1:2">
      <c r="A15" t="s">
        <v>234</v>
      </c>
      <c r="B15" s="12">
        <v>62</v>
      </c>
    </row>
    <row r="16" spans="1:2">
      <c r="A16" t="s">
        <v>236</v>
      </c>
      <c r="B16" s="12">
        <v>42</v>
      </c>
    </row>
    <row r="17" spans="1:2">
      <c r="A17" t="s">
        <v>238</v>
      </c>
      <c r="B17" s="12">
        <v>35</v>
      </c>
    </row>
    <row r="18" spans="1:2">
      <c r="A18" t="s">
        <v>240</v>
      </c>
      <c r="B18" s="12">
        <v>18</v>
      </c>
    </row>
    <row r="19" spans="1:2">
      <c r="A19" t="s">
        <v>242</v>
      </c>
      <c r="B19" s="12">
        <v>30</v>
      </c>
    </row>
    <row r="20" spans="1:2">
      <c r="A20" t="s">
        <v>244</v>
      </c>
      <c r="B20" s="12">
        <v>21</v>
      </c>
    </row>
    <row r="21" spans="1:2">
      <c r="A21" t="s">
        <v>247</v>
      </c>
      <c r="B21" s="12">
        <v>41</v>
      </c>
    </row>
    <row r="22" spans="1:2">
      <c r="A22" t="s">
        <v>249</v>
      </c>
      <c r="B22" s="12">
        <v>40</v>
      </c>
    </row>
    <row r="23" spans="1:2">
      <c r="A23" t="s">
        <v>251</v>
      </c>
      <c r="B23" s="12">
        <v>40</v>
      </c>
    </row>
    <row r="24" spans="1:2">
      <c r="A24" t="s">
        <v>253</v>
      </c>
      <c r="B24" s="12">
        <v>23</v>
      </c>
    </row>
    <row r="25" spans="1:2">
      <c r="A25" t="s">
        <v>255</v>
      </c>
      <c r="B25" s="12">
        <v>400</v>
      </c>
    </row>
    <row r="26" spans="1:2">
      <c r="A26" t="s">
        <v>257</v>
      </c>
      <c r="B26" s="12">
        <v>750</v>
      </c>
    </row>
    <row r="27" spans="1:2">
      <c r="A27" t="s">
        <v>259</v>
      </c>
      <c r="B27" s="12">
        <v>300</v>
      </c>
    </row>
    <row r="28" spans="1:2">
      <c r="A28" t="s">
        <v>261</v>
      </c>
      <c r="B28" s="12">
        <v>150</v>
      </c>
    </row>
    <row r="29" spans="1:2">
      <c r="A29" t="s">
        <v>263</v>
      </c>
      <c r="B29" s="12">
        <v>100</v>
      </c>
    </row>
    <row r="30" spans="1:2">
      <c r="A30" t="s">
        <v>265</v>
      </c>
      <c r="B30" s="12">
        <v>90</v>
      </c>
    </row>
    <row r="31" spans="1:2">
      <c r="A31" t="s">
        <v>267</v>
      </c>
      <c r="B31" s="12">
        <v>120</v>
      </c>
    </row>
    <row r="32" spans="1:2">
      <c r="A32" t="s">
        <v>269</v>
      </c>
      <c r="B32" s="12">
        <v>35</v>
      </c>
    </row>
    <row r="33" spans="1:2">
      <c r="A33" t="s">
        <v>271</v>
      </c>
      <c r="B33" s="12">
        <v>70</v>
      </c>
    </row>
    <row r="34" spans="1:2">
      <c r="A34" t="s">
        <v>273</v>
      </c>
      <c r="B34" s="12">
        <v>25</v>
      </c>
    </row>
    <row r="35" spans="1:2">
      <c r="A35" t="s">
        <v>275</v>
      </c>
      <c r="B35" s="12">
        <v>210</v>
      </c>
    </row>
    <row r="36" spans="1:2">
      <c r="A36" t="s">
        <v>277</v>
      </c>
      <c r="B36" s="12">
        <v>112</v>
      </c>
    </row>
    <row r="37" spans="1:2">
      <c r="A37" t="s">
        <v>280</v>
      </c>
      <c r="B37" s="12">
        <v>500</v>
      </c>
    </row>
    <row r="38" spans="1:2">
      <c r="A38" t="s">
        <v>282</v>
      </c>
      <c r="B38" s="12">
        <v>50</v>
      </c>
    </row>
    <row r="39" spans="1:2">
      <c r="A39" t="s">
        <v>284</v>
      </c>
      <c r="B39" s="12">
        <v>950</v>
      </c>
    </row>
    <row r="40" spans="1:2">
      <c r="A40" t="s">
        <v>286</v>
      </c>
      <c r="B40" s="12">
        <v>56</v>
      </c>
    </row>
    <row r="41" spans="1:2">
      <c r="A41" t="s">
        <v>289</v>
      </c>
      <c r="B41" s="12">
        <v>31</v>
      </c>
    </row>
    <row r="42" spans="1:2">
      <c r="A42" t="s">
        <v>291</v>
      </c>
      <c r="B42" s="12">
        <v>300</v>
      </c>
    </row>
    <row r="43" spans="1:2">
      <c r="A43" t="s">
        <v>76</v>
      </c>
      <c r="B43" s="12">
        <v>50</v>
      </c>
    </row>
    <row r="44" spans="1:2">
      <c r="A44" t="s">
        <v>294</v>
      </c>
      <c r="B44" s="12">
        <v>60</v>
      </c>
    </row>
    <row r="45" spans="1:2">
      <c r="A45" t="s">
        <v>296</v>
      </c>
      <c r="B45" s="12">
        <v>65</v>
      </c>
    </row>
    <row r="46" spans="1:2">
      <c r="A46" t="s">
        <v>298</v>
      </c>
      <c r="B46" s="12">
        <v>45</v>
      </c>
    </row>
    <row r="47" spans="1:2">
      <c r="A47" t="s">
        <v>50</v>
      </c>
      <c r="B47" s="12">
        <v>40</v>
      </c>
    </row>
    <row r="48" spans="1:2">
      <c r="A48" t="s">
        <v>301</v>
      </c>
      <c r="B48" s="12">
        <v>70</v>
      </c>
    </row>
    <row r="49" spans="1:2">
      <c r="A49" t="s">
        <v>18</v>
      </c>
      <c r="B49" s="12">
        <v>110</v>
      </c>
    </row>
    <row r="50" spans="1:2">
      <c r="A50" t="s">
        <v>305</v>
      </c>
      <c r="B50" s="12">
        <v>36</v>
      </c>
    </row>
    <row r="51" spans="1:2">
      <c r="A51" t="s">
        <v>307</v>
      </c>
      <c r="B51" s="12">
        <v>34</v>
      </c>
    </row>
    <row r="52" spans="1:2">
      <c r="A52" t="s">
        <v>310</v>
      </c>
      <c r="B52" s="12">
        <v>70</v>
      </c>
    </row>
    <row r="53" spans="1:2">
      <c r="A53" t="s">
        <v>312</v>
      </c>
      <c r="B53" s="12">
        <v>56</v>
      </c>
    </row>
    <row r="54" spans="1:2">
      <c r="A54" t="s">
        <v>314</v>
      </c>
      <c r="B54" s="12">
        <v>81</v>
      </c>
    </row>
    <row r="55" spans="1:2">
      <c r="A55" t="s">
        <v>316</v>
      </c>
      <c r="B55" s="12">
        <v>65</v>
      </c>
    </row>
    <row r="56" spans="1:2">
      <c r="A56" t="s">
        <v>318</v>
      </c>
      <c r="B56" s="12">
        <v>54</v>
      </c>
    </row>
    <row r="57" spans="1:2">
      <c r="A57" t="s">
        <v>320</v>
      </c>
      <c r="B57" s="12">
        <v>45</v>
      </c>
    </row>
    <row r="58" spans="1:2">
      <c r="A58" t="s">
        <v>131</v>
      </c>
      <c r="B58" s="12">
        <v>74</v>
      </c>
    </row>
    <row r="59" spans="1:2">
      <c r="A59" t="s">
        <v>323</v>
      </c>
      <c r="B59" s="12">
        <v>55</v>
      </c>
    </row>
    <row r="60" spans="1:2">
      <c r="A60" t="s">
        <v>325</v>
      </c>
      <c r="B60" s="12">
        <v>43</v>
      </c>
    </row>
    <row r="61" spans="1:2">
      <c r="A61" t="s">
        <v>327</v>
      </c>
      <c r="B61" s="12">
        <v>72</v>
      </c>
    </row>
    <row r="62" spans="1:2">
      <c r="A62" t="s">
        <v>329</v>
      </c>
      <c r="B62" s="12">
        <v>24</v>
      </c>
    </row>
    <row r="63" spans="1:2">
      <c r="A63" t="s">
        <v>331</v>
      </c>
      <c r="B63" s="12">
        <v>18</v>
      </c>
    </row>
    <row r="64" spans="1:2">
      <c r="A64" t="s">
        <v>333</v>
      </c>
      <c r="B64" s="12">
        <v>16</v>
      </c>
    </row>
    <row r="65" spans="1:2">
      <c r="A65" t="s">
        <v>335</v>
      </c>
      <c r="B65" s="12">
        <v>45</v>
      </c>
    </row>
    <row r="66" spans="1:2">
      <c r="A66" t="s">
        <v>337</v>
      </c>
      <c r="B66" s="12">
        <v>50</v>
      </c>
    </row>
    <row r="67" spans="1:2">
      <c r="A67" t="s">
        <v>339</v>
      </c>
      <c r="B67" s="12">
        <v>78</v>
      </c>
    </row>
    <row r="68" spans="1:2">
      <c r="A68" t="s">
        <v>341</v>
      </c>
      <c r="B68" s="12">
        <v>56</v>
      </c>
    </row>
    <row r="69" spans="1:2">
      <c r="A69" t="s">
        <v>343</v>
      </c>
      <c r="B69" s="12">
        <v>34</v>
      </c>
    </row>
    <row r="70" spans="1:2">
      <c r="A70" t="s">
        <v>346</v>
      </c>
      <c r="B70" s="12">
        <v>54</v>
      </c>
    </row>
    <row r="71" spans="1:2">
      <c r="A71" t="s">
        <v>348</v>
      </c>
      <c r="B71" s="12">
        <v>54</v>
      </c>
    </row>
    <row r="72" spans="1:2">
      <c r="A72" t="s">
        <v>350</v>
      </c>
      <c r="B72" s="12">
        <v>67</v>
      </c>
    </row>
    <row r="73" spans="1:2">
      <c r="A73" t="s">
        <v>352</v>
      </c>
      <c r="B73" s="12">
        <v>67</v>
      </c>
    </row>
    <row r="74" spans="1:2">
      <c r="A74" t="s">
        <v>354</v>
      </c>
      <c r="B74" s="12">
        <v>87</v>
      </c>
    </row>
    <row r="75" spans="1:2">
      <c r="A75" t="s">
        <v>356</v>
      </c>
      <c r="B75" s="12">
        <v>32</v>
      </c>
    </row>
    <row r="76" spans="1:2">
      <c r="A76" t="s">
        <v>358</v>
      </c>
      <c r="B76" s="12">
        <v>40</v>
      </c>
    </row>
    <row r="77" spans="1:2">
      <c r="A77" t="s">
        <v>101</v>
      </c>
      <c r="B77" s="12">
        <v>56</v>
      </c>
    </row>
    <row r="78" spans="1:2">
      <c r="A78" t="s">
        <v>361</v>
      </c>
      <c r="B78" s="12">
        <v>54</v>
      </c>
    </row>
    <row r="79" spans="1:2">
      <c r="A79" t="s">
        <v>363</v>
      </c>
      <c r="B79" s="12">
        <v>31</v>
      </c>
    </row>
    <row r="80" spans="1:2">
      <c r="A80" t="s">
        <v>365</v>
      </c>
      <c r="B80" s="12">
        <v>32</v>
      </c>
    </row>
    <row r="81" spans="1:2">
      <c r="A81" t="s">
        <v>367</v>
      </c>
      <c r="B81" s="12">
        <v>47</v>
      </c>
    </row>
    <row r="82" spans="1:2">
      <c r="A82" t="s">
        <v>369</v>
      </c>
      <c r="B82" s="12">
        <v>50</v>
      </c>
    </row>
    <row r="83" spans="1:2">
      <c r="A83" t="s">
        <v>371</v>
      </c>
      <c r="B83" s="12">
        <v>80</v>
      </c>
    </row>
    <row r="84" spans="1:2">
      <c r="A84" t="s">
        <v>32</v>
      </c>
      <c r="B84" s="12">
        <v>21</v>
      </c>
    </row>
    <row r="85" spans="1:2">
      <c r="A85" t="s">
        <v>373</v>
      </c>
      <c r="B85" s="12">
        <v>43</v>
      </c>
    </row>
    <row r="86" spans="1:2">
      <c r="A86" t="s">
        <v>375</v>
      </c>
      <c r="B86" s="12">
        <v>400</v>
      </c>
    </row>
    <row r="87" spans="1:2">
      <c r="A87" t="s">
        <v>379</v>
      </c>
      <c r="B87" s="12">
        <v>60</v>
      </c>
    </row>
    <row r="88" spans="1:2">
      <c r="A88" t="s">
        <v>385</v>
      </c>
      <c r="B88" s="11"/>
    </row>
    <row r="89" spans="1:2">
      <c r="A89" t="s">
        <v>386</v>
      </c>
      <c r="B89" s="11">
        <v>21787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2025-08-27T06:48:17Z</dcterms:created>
  <dcterms:modified xsi:type="dcterms:W3CDTF">2026-02-25T01:46:30Z</dcterms:modified>
  <cp:category/>
  <cp:contentStatus/>
</cp:coreProperties>
</file>