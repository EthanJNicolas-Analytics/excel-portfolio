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xr:revisionPtr revIDLastSave="0" documentId="8_{393596BE-4FE7-4669-9845-BF5923344C9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F4" i="1"/>
  <c r="E4" i="1"/>
  <c r="D4" i="1"/>
  <c r="C4" i="1"/>
  <c r="G3" i="1"/>
  <c r="B4" i="1"/>
  <c r="E3" i="1"/>
  <c r="D3" i="1"/>
  <c r="C3" i="1"/>
  <c r="G2" i="1"/>
  <c r="F3" i="1"/>
  <c r="B3" i="1"/>
  <c r="D2" i="1"/>
  <c r="E2" i="1"/>
  <c r="F2" i="1"/>
  <c r="C2" i="1"/>
  <c r="B2" i="1"/>
</calcChain>
</file>

<file path=xl/sharedStrings.xml><?xml version="1.0" encoding="utf-8"?>
<sst xmlns="http://schemas.openxmlformats.org/spreadsheetml/2006/main" count="14" uniqueCount="14">
  <si>
    <t xml:space="preserve">Net inocme projections </t>
  </si>
  <si>
    <t>jan</t>
  </si>
  <si>
    <t>feb</t>
  </si>
  <si>
    <t>mar</t>
  </si>
  <si>
    <t>apr</t>
  </si>
  <si>
    <t>may</t>
  </si>
  <si>
    <t xml:space="preserve">total </t>
  </si>
  <si>
    <t>revenue</t>
  </si>
  <si>
    <t>expenses</t>
  </si>
  <si>
    <t>net income</t>
  </si>
  <si>
    <t>assumptios(formula inputs)</t>
  </si>
  <si>
    <t>start revenue for jan</t>
  </si>
  <si>
    <t xml:space="preserve">revenue % increase </t>
  </si>
  <si>
    <t xml:space="preserve">expense as % of 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</si>
</sst>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0" xfId="0" applyFill="1"/>
    <xf numFmtId="0" fontId="0" fillId="5" borderId="1" xfId="0" applyFill="1" applyBorder="1"/>
    <xf numFmtId="164" fontId="0" fillId="5" borderId="1" xfId="0" applyNumberFormat="1" applyFill="1" applyBorder="1"/>
    <xf numFmtId="10" fontId="0" fillId="5" borderId="1" xfId="0" applyNumberFormat="1" applyFill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val>
            <c:numRef>
              <c:f>Sheet1!$G$7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671F-4763-BE9C-273DF3FE6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1976968"/>
        <c:axId val="1751979016"/>
      </c:barChart>
      <c:catAx>
        <c:axId val="1751976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979016"/>
        <c:crosses val="autoZero"/>
        <c:auto val="1"/>
        <c:lblAlgn val="ctr"/>
        <c:lblOffset val="100"/>
        <c:noMultiLvlLbl val="0"/>
      </c:catAx>
      <c:valAx>
        <c:axId val="1751979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976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2000 EJN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monthly income</c:v>
          </c:tx>
          <c:spPr>
            <a:solidFill>
              <a:srgbClr val="145F8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Sheet1!$B$1:$G$1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total </c:v>
                </c:pt>
              </c:strCache>
            </c:strRef>
          </c:cat>
          <c:val>
            <c:numRef>
              <c:f>Sheet1!$B$4:$G$4</c:f>
              <c:numCache>
                <c:formatCode>_([$$-409]* #,##0.00_);_([$$-409]* \(#,##0.00\);_([$$-409]* "-"??_);_(@_)</c:formatCode>
                <c:ptCount val="6"/>
                <c:pt idx="0">
                  <c:v>1750</c:v>
                </c:pt>
                <c:pt idx="1">
                  <c:v>1837.5</c:v>
                </c:pt>
                <c:pt idx="2">
                  <c:v>1929.375</c:v>
                </c:pt>
                <c:pt idx="3">
                  <c:v>2025.84375</c:v>
                </c:pt>
                <c:pt idx="4">
                  <c:v>2127.1359374999997</c:v>
                </c:pt>
                <c:pt idx="5">
                  <c:v>9669.8546874999993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C7-4799-A23C-CF9E4AF86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4563592"/>
        <c:axId val="754569224"/>
      </c:barChart>
      <c:catAx>
        <c:axId val="754563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569224"/>
        <c:crosses val="autoZero"/>
        <c:auto val="1"/>
        <c:lblAlgn val="ctr"/>
        <c:lblOffset val="100"/>
        <c:noMultiLvlLbl val="0"/>
      </c:catAx>
      <c:valAx>
        <c:axId val="754569224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563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123825</xdr:colOff>
      <xdr:row>0</xdr:row>
      <xdr:rowOff>0</xdr:rowOff>
    </xdr:from>
    <xdr:to>
      <xdr:col>9</xdr:col>
      <xdr:colOff>390525</xdr:colOff>
      <xdr:row>0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70FAF2-35F1-2AC4-4393-3BF7A7428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</xdr:colOff>
      <xdr:row>4</xdr:row>
      <xdr:rowOff>9525</xdr:rowOff>
    </xdr:from>
    <xdr:to>
      <xdr:col>13</xdr:col>
      <xdr:colOff>209550</xdr:colOff>
      <xdr:row>17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23E9FA-89A0-989D-7FC9-9FC545A94692}"/>
            </a:ext>
            <a:ext uri="{147F2762-F138-4A5C-976F-8EAC2B608ADB}">
              <a16:predDERef xmlns:a16="http://schemas.microsoft.com/office/drawing/2014/main" pred="{BE70FAF2-35F1-2AC4-4393-3BF7A7428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J3" sqref="J3"/>
    </sheetView>
  </sheetViews>
  <sheetFormatPr defaultRowHeight="15"/>
  <cols>
    <col min="1" max="1" width="24.5703125" bestFit="1" customWidth="1"/>
    <col min="2" max="6" width="10.42578125" bestFit="1" customWidth="1"/>
    <col min="7" max="7" width="11.42578125" bestFit="1" customWidth="1"/>
  </cols>
  <sheetData>
    <row r="1" spans="1:7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7">
        <f>B7</f>
        <v>5000</v>
      </c>
      <c r="C2" s="7">
        <f>B2*$B$8</f>
        <v>5250</v>
      </c>
      <c r="D2" s="7">
        <f t="shared" ref="D2:F2" si="0">C2*$B$8</f>
        <v>5512.5</v>
      </c>
      <c r="E2" s="7">
        <f t="shared" si="0"/>
        <v>5788.125</v>
      </c>
      <c r="F2" s="7">
        <f t="shared" si="0"/>
        <v>6077.53125</v>
      </c>
      <c r="G2" s="7">
        <f>SUM(B2:F2)</f>
        <v>27628.15625</v>
      </c>
    </row>
    <row r="3" spans="1:7">
      <c r="A3" s="1" t="s">
        <v>8</v>
      </c>
      <c r="B3" s="7">
        <f>B2*$B$9</f>
        <v>3250</v>
      </c>
      <c r="C3" s="7">
        <f>C2*$B$9</f>
        <v>3412.5</v>
      </c>
      <c r="D3" s="7">
        <f>D2*$B$9</f>
        <v>3583.125</v>
      </c>
      <c r="E3" s="7">
        <f>E2*$B$9</f>
        <v>3762.28125</v>
      </c>
      <c r="F3" s="7">
        <f t="shared" ref="C3:F3" si="1">F2*$B$9</f>
        <v>3950.3953125000003</v>
      </c>
      <c r="G3" s="7">
        <f>SUM(B3:F3)</f>
        <v>17958.301562500001</v>
      </c>
    </row>
    <row r="4" spans="1:7">
      <c r="A4" s="1" t="s">
        <v>9</v>
      </c>
      <c r="B4" s="7">
        <f>B2-B3</f>
        <v>1750</v>
      </c>
      <c r="C4" s="7">
        <f>C2-C3</f>
        <v>1837.5</v>
      </c>
      <c r="D4" s="7">
        <f>D2-D3</f>
        <v>1929.375</v>
      </c>
      <c r="E4" s="7">
        <f>E2-E3</f>
        <v>2025.84375</v>
      </c>
      <c r="F4" s="7">
        <f>F2-F3</f>
        <v>2127.1359374999997</v>
      </c>
      <c r="G4" s="7">
        <f>SUM(B4:F4)</f>
        <v>9669.8546874999993</v>
      </c>
    </row>
    <row r="6" spans="1:7">
      <c r="A6" s="3" t="s">
        <v>10</v>
      </c>
    </row>
    <row r="7" spans="1:7">
      <c r="A7" s="4" t="s">
        <v>11</v>
      </c>
      <c r="B7" s="5">
        <v>5000</v>
      </c>
    </row>
    <row r="8" spans="1:7">
      <c r="A8" s="4" t="s">
        <v>12</v>
      </c>
      <c r="B8" s="6">
        <v>1.05</v>
      </c>
    </row>
    <row r="9" spans="1:7">
      <c r="A9" s="4" t="s">
        <v>13</v>
      </c>
      <c r="B9" s="6">
        <v>0.65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2025-09-03T14:18:53Z</dcterms:created>
  <dcterms:modified xsi:type="dcterms:W3CDTF">2026-02-25T01:49:17Z</dcterms:modified>
  <cp:category/>
  <cp:contentStatus/>
</cp:coreProperties>
</file>