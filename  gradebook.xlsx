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5984C95E-B132-42BF-B99A-D708C31BE9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J25" i="1"/>
  <c r="I25" i="1"/>
  <c r="F25" i="1"/>
  <c r="E25" i="1"/>
  <c r="K24" i="1"/>
  <c r="J24" i="1"/>
  <c r="I24" i="1"/>
  <c r="F24" i="1"/>
  <c r="E24" i="1"/>
  <c r="K23" i="1"/>
  <c r="J23" i="1"/>
  <c r="I23" i="1"/>
  <c r="F23" i="1"/>
  <c r="E23" i="1"/>
  <c r="K22" i="1"/>
  <c r="J22" i="1"/>
  <c r="I22" i="1"/>
  <c r="F22" i="1"/>
  <c r="E22" i="1"/>
  <c r="D25" i="1"/>
  <c r="D24" i="1"/>
  <c r="D23" i="1"/>
  <c r="D22" i="1"/>
  <c r="C25" i="1"/>
  <c r="C24" i="1"/>
  <c r="C23" i="1"/>
  <c r="C22" i="1"/>
  <c r="P4" i="1"/>
  <c r="O4" i="1"/>
  <c r="N4" i="1"/>
  <c r="P20" i="1"/>
  <c r="O20" i="1"/>
  <c r="N20" i="1"/>
  <c r="P19" i="1"/>
  <c r="O19" i="1"/>
  <c r="N19" i="1"/>
  <c r="P18" i="1"/>
  <c r="O18" i="1"/>
  <c r="N18" i="1"/>
  <c r="M18" i="1"/>
  <c r="P17" i="1"/>
  <c r="O17" i="1"/>
  <c r="N17" i="1"/>
  <c r="M17" i="1"/>
  <c r="P16" i="1"/>
  <c r="O16" i="1"/>
  <c r="N16" i="1"/>
  <c r="M16" i="1"/>
  <c r="P15" i="1"/>
  <c r="O15" i="1"/>
  <c r="N15" i="1"/>
  <c r="M15" i="1"/>
  <c r="P14" i="1"/>
  <c r="O14" i="1"/>
  <c r="N14" i="1"/>
  <c r="M14" i="1"/>
  <c r="P13" i="1"/>
  <c r="O13" i="1"/>
  <c r="N13" i="1"/>
  <c r="M13" i="1"/>
  <c r="P12" i="1"/>
  <c r="O12" i="1"/>
  <c r="N12" i="1"/>
  <c r="M12" i="1"/>
  <c r="P11" i="1"/>
  <c r="O11" i="1"/>
  <c r="N11" i="1"/>
  <c r="M11" i="1"/>
  <c r="P10" i="1"/>
  <c r="O10" i="1"/>
  <c r="N10" i="1"/>
  <c r="M10" i="1"/>
  <c r="P9" i="1"/>
  <c r="O9" i="1"/>
  <c r="N9" i="1"/>
  <c r="M9" i="1"/>
  <c r="P8" i="1"/>
  <c r="O8" i="1"/>
  <c r="N8" i="1"/>
  <c r="M8" i="1"/>
  <c r="P7" i="1"/>
  <c r="O7" i="1"/>
  <c r="N7" i="1"/>
  <c r="M7" i="1"/>
  <c r="P6" i="1"/>
  <c r="O6" i="1"/>
  <c r="N6" i="1"/>
  <c r="M6" i="1"/>
  <c r="P5" i="1"/>
  <c r="O5" i="1"/>
  <c r="N5" i="1"/>
  <c r="M5" i="1"/>
  <c r="M4" i="1"/>
  <c r="H19" i="1"/>
  <c r="I19" i="1"/>
  <c r="J19" i="1"/>
  <c r="K19" i="1"/>
  <c r="H20" i="1"/>
  <c r="M20" i="1" s="1"/>
  <c r="I20" i="1"/>
  <c r="J20" i="1"/>
  <c r="K20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25" i="1" l="1"/>
  <c r="H24" i="1"/>
  <c r="H23" i="1"/>
  <c r="H22" i="1"/>
  <c r="M19" i="1"/>
</calcChain>
</file>

<file path=xl/sharedStrings.xml><?xml version="1.0" encoding="utf-8"?>
<sst xmlns="http://schemas.openxmlformats.org/spreadsheetml/2006/main" count="51" uniqueCount="45">
  <si>
    <t>gradebook</t>
  </si>
  <si>
    <t>saftey test</t>
  </si>
  <si>
    <t xml:space="preserve">company philosophy test </t>
  </si>
  <si>
    <t xml:space="preserve">finnancial skills test </t>
  </si>
  <si>
    <t>drug test</t>
  </si>
  <si>
    <t>fire employee?</t>
  </si>
  <si>
    <t xml:space="preserve">points possible </t>
  </si>
  <si>
    <t xml:space="preserve">last name </t>
  </si>
  <si>
    <t>first name</t>
  </si>
  <si>
    <t>Nye</t>
  </si>
  <si>
    <t>Bill</t>
  </si>
  <si>
    <t>Einstien</t>
  </si>
  <si>
    <t>Albert</t>
  </si>
  <si>
    <t>Nicolas</t>
  </si>
  <si>
    <t>Ethan</t>
  </si>
  <si>
    <t>James</t>
  </si>
  <si>
    <t>Lebron</t>
  </si>
  <si>
    <t>Johnson</t>
  </si>
  <si>
    <t>Rock</t>
  </si>
  <si>
    <t>Mcgreggor</t>
  </si>
  <si>
    <t>Connor</t>
  </si>
  <si>
    <t>Jackson</t>
  </si>
  <si>
    <t>Rampage</t>
  </si>
  <si>
    <t>Tyson</t>
  </si>
  <si>
    <t>Mike</t>
  </si>
  <si>
    <t>Jordan</t>
  </si>
  <si>
    <t>Michael</t>
  </si>
  <si>
    <t>Chan</t>
  </si>
  <si>
    <t>Jackie</t>
  </si>
  <si>
    <t>Toupoura</t>
  </si>
  <si>
    <t xml:space="preserve">Ilia </t>
  </si>
  <si>
    <t>Davis</t>
  </si>
  <si>
    <t>Tank</t>
  </si>
  <si>
    <t>Sanders</t>
  </si>
  <si>
    <t>Deion</t>
  </si>
  <si>
    <t>Tate</t>
  </si>
  <si>
    <t>Andrew</t>
  </si>
  <si>
    <t>Goggins</t>
  </si>
  <si>
    <t>David</t>
  </si>
  <si>
    <t>Trump</t>
  </si>
  <si>
    <t xml:space="preserve">Donald </t>
  </si>
  <si>
    <t>max</t>
  </si>
  <si>
    <t>min</t>
  </si>
  <si>
    <t xml:space="preserve">average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</si>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</sst>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/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0" xfId="0" applyNumberFormat="1" applyAlignment="1"/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Nye</c:v>
                </c:pt>
                <c:pt idx="1">
                  <c:v>Einstien</c:v>
                </c:pt>
                <c:pt idx="2">
                  <c:v>Nicolas</c:v>
                </c:pt>
                <c:pt idx="3">
                  <c:v>James</c:v>
                </c:pt>
                <c:pt idx="4">
                  <c:v>Johnson</c:v>
                </c:pt>
                <c:pt idx="5">
                  <c:v>Mcgreggor</c:v>
                </c:pt>
                <c:pt idx="6">
                  <c:v>Jackson</c:v>
                </c:pt>
                <c:pt idx="7">
                  <c:v>Tyson</c:v>
                </c:pt>
                <c:pt idx="8">
                  <c:v>Jordan</c:v>
                </c:pt>
                <c:pt idx="9">
                  <c:v>Jackson</c:v>
                </c:pt>
                <c:pt idx="10">
                  <c:v>Chan</c:v>
                </c:pt>
                <c:pt idx="11">
                  <c:v>Toupoura</c:v>
                </c:pt>
                <c:pt idx="12">
                  <c:v>Davis</c:v>
                </c:pt>
                <c:pt idx="13">
                  <c:v>Sanders</c:v>
                </c:pt>
                <c:pt idx="14">
                  <c:v>Tate</c:v>
                </c:pt>
                <c:pt idx="15">
                  <c:v>Goggins</c:v>
                </c:pt>
                <c:pt idx="16">
                  <c:v>Trump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4</c:v>
                </c:pt>
                <c:pt idx="1">
                  <c:v>5</c:v>
                </c:pt>
                <c:pt idx="2">
                  <c:v>10</c:v>
                </c:pt>
                <c:pt idx="3">
                  <c:v>8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6.9428571428571404</c:v>
                </c:pt>
                <c:pt idx="16">
                  <c:v>7.0607142857142904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2-4F45-AA70-2318CD495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359368"/>
        <c:axId val="1146435080"/>
      </c:barChart>
      <c:catAx>
        <c:axId val="63335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35080"/>
        <c:crosses val="autoZero"/>
        <c:auto val="1"/>
        <c:lblAlgn val="ctr"/>
        <c:lblOffset val="100"/>
        <c:noMultiLvlLbl val="0"/>
      </c:catAx>
      <c:valAx>
        <c:axId val="114643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35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Nye</c:v>
                </c:pt>
                <c:pt idx="1">
                  <c:v>Einstien</c:v>
                </c:pt>
                <c:pt idx="2">
                  <c:v>Nicolas</c:v>
                </c:pt>
                <c:pt idx="3">
                  <c:v>James</c:v>
                </c:pt>
                <c:pt idx="4">
                  <c:v>Johnson</c:v>
                </c:pt>
                <c:pt idx="5">
                  <c:v>Mcgreggor</c:v>
                </c:pt>
                <c:pt idx="6">
                  <c:v>Jackson</c:v>
                </c:pt>
                <c:pt idx="7">
                  <c:v>Tyson</c:v>
                </c:pt>
                <c:pt idx="8">
                  <c:v>Jordan</c:v>
                </c:pt>
                <c:pt idx="9">
                  <c:v>Jackson</c:v>
                </c:pt>
                <c:pt idx="10">
                  <c:v>Chan</c:v>
                </c:pt>
                <c:pt idx="11">
                  <c:v>Toupoura</c:v>
                </c:pt>
                <c:pt idx="12">
                  <c:v>Davis</c:v>
                </c:pt>
                <c:pt idx="13">
                  <c:v>Sanders</c:v>
                </c:pt>
                <c:pt idx="14">
                  <c:v>Tate</c:v>
                </c:pt>
                <c:pt idx="15">
                  <c:v>Goggins</c:v>
                </c:pt>
                <c:pt idx="16">
                  <c:v>Trump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15</c:v>
                </c:pt>
                <c:pt idx="1">
                  <c:v>12</c:v>
                </c:pt>
                <c:pt idx="2">
                  <c:v>20</c:v>
                </c:pt>
                <c:pt idx="3">
                  <c:v>12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18</c:v>
                </c:pt>
                <c:pt idx="8">
                  <c:v>12</c:v>
                </c:pt>
                <c:pt idx="9">
                  <c:v>11</c:v>
                </c:pt>
                <c:pt idx="10">
                  <c:v>15</c:v>
                </c:pt>
                <c:pt idx="11">
                  <c:v>11</c:v>
                </c:pt>
                <c:pt idx="12">
                  <c:v>17</c:v>
                </c:pt>
                <c:pt idx="13">
                  <c:v>19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4-424C-8A3F-2EB021C8F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485768"/>
        <c:axId val="1146557448"/>
      </c:barChart>
      <c:catAx>
        <c:axId val="114648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557448"/>
        <c:crosses val="autoZero"/>
        <c:auto val="1"/>
        <c:lblAlgn val="ctr"/>
        <c:lblOffset val="100"/>
        <c:noMultiLvlLbl val="0"/>
      </c:catAx>
      <c:valAx>
        <c:axId val="114655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8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Nye</c:v>
                </c:pt>
                <c:pt idx="1">
                  <c:v>Einstien</c:v>
                </c:pt>
                <c:pt idx="2">
                  <c:v>Nicolas</c:v>
                </c:pt>
                <c:pt idx="3">
                  <c:v>James</c:v>
                </c:pt>
                <c:pt idx="4">
                  <c:v>Johnson</c:v>
                </c:pt>
                <c:pt idx="5">
                  <c:v>Mcgreggor</c:v>
                </c:pt>
                <c:pt idx="6">
                  <c:v>Jackson</c:v>
                </c:pt>
                <c:pt idx="7">
                  <c:v>Tyson</c:v>
                </c:pt>
                <c:pt idx="8">
                  <c:v>Jordan</c:v>
                </c:pt>
                <c:pt idx="9">
                  <c:v>Jackson</c:v>
                </c:pt>
                <c:pt idx="10">
                  <c:v>Chan</c:v>
                </c:pt>
                <c:pt idx="11">
                  <c:v>Toupoura</c:v>
                </c:pt>
                <c:pt idx="12">
                  <c:v>Davis</c:v>
                </c:pt>
                <c:pt idx="13">
                  <c:v>Sanders</c:v>
                </c:pt>
                <c:pt idx="14">
                  <c:v>Tate</c:v>
                </c:pt>
                <c:pt idx="15">
                  <c:v>Goggins</c:v>
                </c:pt>
                <c:pt idx="16">
                  <c:v>Trump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65</c:v>
                </c:pt>
                <c:pt idx="1">
                  <c:v>70</c:v>
                </c:pt>
                <c:pt idx="2">
                  <c:v>100</c:v>
                </c:pt>
                <c:pt idx="3">
                  <c:v>90</c:v>
                </c:pt>
                <c:pt idx="4">
                  <c:v>91</c:v>
                </c:pt>
                <c:pt idx="5">
                  <c:v>54</c:v>
                </c:pt>
                <c:pt idx="6">
                  <c:v>67</c:v>
                </c:pt>
                <c:pt idx="7">
                  <c:v>89</c:v>
                </c:pt>
                <c:pt idx="8">
                  <c:v>43</c:v>
                </c:pt>
                <c:pt idx="9">
                  <c:v>33</c:v>
                </c:pt>
                <c:pt idx="10">
                  <c:v>45</c:v>
                </c:pt>
                <c:pt idx="11">
                  <c:v>69</c:v>
                </c:pt>
                <c:pt idx="12">
                  <c:v>78</c:v>
                </c:pt>
                <c:pt idx="13">
                  <c:v>81</c:v>
                </c:pt>
                <c:pt idx="14">
                  <c:v>74</c:v>
                </c:pt>
                <c:pt idx="15">
                  <c:v>87</c:v>
                </c:pt>
                <c:pt idx="16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B-45FA-8AAD-71051C2E3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78727"/>
        <c:axId val="114080775"/>
      </c:barChart>
      <c:catAx>
        <c:axId val="114078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0775"/>
        <c:crosses val="autoZero"/>
        <c:auto val="1"/>
        <c:lblAlgn val="ctr"/>
        <c:lblOffset val="100"/>
        <c:noMultiLvlLbl val="0"/>
      </c:catAx>
      <c:valAx>
        <c:axId val="114080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78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drug test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Nye</c:v>
                </c:pt>
                <c:pt idx="1">
                  <c:v>Einstien</c:v>
                </c:pt>
                <c:pt idx="2">
                  <c:v>Nicolas</c:v>
                </c:pt>
                <c:pt idx="3">
                  <c:v>James</c:v>
                </c:pt>
                <c:pt idx="4">
                  <c:v>Johnson</c:v>
                </c:pt>
                <c:pt idx="5">
                  <c:v>Mcgreggor</c:v>
                </c:pt>
                <c:pt idx="6">
                  <c:v>Jackson</c:v>
                </c:pt>
                <c:pt idx="7">
                  <c:v>Tyson</c:v>
                </c:pt>
                <c:pt idx="8">
                  <c:v>Jordan</c:v>
                </c:pt>
                <c:pt idx="9">
                  <c:v>Jackson</c:v>
                </c:pt>
                <c:pt idx="10">
                  <c:v>Chan</c:v>
                </c:pt>
                <c:pt idx="11">
                  <c:v>Toupoura</c:v>
                </c:pt>
                <c:pt idx="12">
                  <c:v>Davis</c:v>
                </c:pt>
                <c:pt idx="13">
                  <c:v>Sanders</c:v>
                </c:pt>
                <c:pt idx="14">
                  <c:v>Tate</c:v>
                </c:pt>
                <c:pt idx="15">
                  <c:v>Goggins</c:v>
                </c:pt>
                <c:pt idx="16">
                  <c:v>Trump</c:v>
                </c:pt>
              </c:strCache>
            </c:strRef>
          </c:cat>
          <c:val>
            <c:numRef>
              <c:f>Sheet1!$F$4:$F$20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A-4E71-9AC2-3606F1C7D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197831"/>
        <c:axId val="1669199879"/>
      </c:barChart>
      <c:catAx>
        <c:axId val="1669197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199879"/>
        <c:crosses val="autoZero"/>
        <c:auto val="1"/>
        <c:lblAlgn val="ctr"/>
        <c:lblOffset val="100"/>
        <c:noMultiLvlLbl val="0"/>
      </c:catAx>
      <c:valAx>
        <c:axId val="166919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19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571500</xdr:colOff>
      <xdr:row>0</xdr:row>
      <xdr:rowOff>1447800</xdr:rowOff>
    </xdr:from>
    <xdr:to>
      <xdr:col>24</xdr:col>
      <xdr:colOff>266700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EE451-BF3B-B3FD-9086-DA28A66B4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323850</xdr:colOff>
      <xdr:row>1</xdr:row>
      <xdr:rowOff>0</xdr:rowOff>
    </xdr:from>
    <xdr:to>
      <xdr:col>32</xdr:col>
      <xdr:colOff>19050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F8653-954B-1A94-F1D3-99CA09F6C48A}"/>
            </a:ext>
            <a:ext uri="{147F2762-F138-4A5C-976F-8EAC2B608ADB}">
              <a16:predDERef xmlns:a16="http://schemas.microsoft.com/office/drawing/2014/main" pred="{D40EE451-BF3B-B3FD-9086-DA28A66B4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9525</xdr:colOff>
      <xdr:row>15</xdr:row>
      <xdr:rowOff>47625</xdr:rowOff>
    </xdr:from>
    <xdr:to>
      <xdr:col>24</xdr:col>
      <xdr:colOff>314325</xdr:colOff>
      <xdr:row>26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8EFCCB-4CED-BA08-98F9-A0C5A06178E9}"/>
            </a:ext>
            <a:ext uri="{147F2762-F138-4A5C-976F-8EAC2B608ADB}">
              <a16:predDERef xmlns:a16="http://schemas.microsoft.com/office/drawing/2014/main" pred="{854F8653-954B-1A94-F1D3-99CA09F6C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361950</xdr:colOff>
      <xdr:row>15</xdr:row>
      <xdr:rowOff>104775</xdr:rowOff>
    </xdr:from>
    <xdr:to>
      <xdr:col>32</xdr:col>
      <xdr:colOff>57150</xdr:colOff>
      <xdr:row>27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395883-BF7E-4CA2-09FE-5306A8E66F39}"/>
            </a:ext>
            <a:ext uri="{147F2762-F138-4A5C-976F-8EAC2B608ADB}">
              <a16:predDERef xmlns:a16="http://schemas.microsoft.com/office/drawing/2014/main" pred="{628EFCCB-4CED-BA08-98F9-A0C5A0617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P30" sqref="P30"/>
    </sheetView>
  </sheetViews>
  <sheetFormatPr defaultRowHeight="15"/>
  <cols>
    <col min="1" max="1" width="9.85546875" bestFit="1" customWidth="1"/>
    <col min="2" max="2" width="14.28515625" bestFit="1" customWidth="1"/>
    <col min="3" max="3" width="3" style="1" bestFit="1" customWidth="1"/>
    <col min="4" max="4" width="5.28515625" style="1" bestFit="1" customWidth="1"/>
    <col min="5" max="5" width="6.42578125" style="1" bestFit="1" customWidth="1"/>
    <col min="6" max="6" width="3" style="1" bestFit="1" customWidth="1"/>
    <col min="8" max="11" width="9.5703125" bestFit="1" customWidth="1"/>
    <col min="13" max="13" width="13.42578125" bestFit="1" customWidth="1"/>
  </cols>
  <sheetData>
    <row r="1" spans="1:16" ht="117.75">
      <c r="A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1</v>
      </c>
      <c r="I1" s="1" t="s">
        <v>2</v>
      </c>
      <c r="J1" s="1" t="s">
        <v>3</v>
      </c>
      <c r="K1" s="1" t="s">
        <v>4</v>
      </c>
      <c r="M1" s="1" t="s">
        <v>5</v>
      </c>
    </row>
    <row r="2" spans="1:16">
      <c r="B2" t="s">
        <v>6</v>
      </c>
      <c r="C2" s="2">
        <v>10</v>
      </c>
      <c r="D2" s="2">
        <v>20</v>
      </c>
      <c r="E2" s="2">
        <v>100</v>
      </c>
      <c r="F2" s="2">
        <v>1</v>
      </c>
    </row>
    <row r="3" spans="1:16">
      <c r="A3" t="s">
        <v>7</v>
      </c>
      <c r="B3" t="s">
        <v>8</v>
      </c>
      <c r="C3" s="2"/>
      <c r="D3" s="2"/>
      <c r="E3" s="2"/>
    </row>
    <row r="4" spans="1:16">
      <c r="A4" t="s">
        <v>9</v>
      </c>
      <c r="B4" t="s">
        <v>10</v>
      </c>
      <c r="C4" s="2">
        <v>4</v>
      </c>
      <c r="D4" s="3">
        <v>15</v>
      </c>
      <c r="E4" s="2">
        <v>65</v>
      </c>
      <c r="F4" s="2">
        <v>1</v>
      </c>
      <c r="H4" s="4">
        <f>C4/C$2</f>
        <v>0.4</v>
      </c>
      <c r="I4" s="4">
        <f t="shared" ref="I4:I18" si="0">D4/D$2</f>
        <v>0.75</v>
      </c>
      <c r="J4" s="4">
        <f t="shared" ref="J4:J20" si="1">E4/E$2</f>
        <v>0.65</v>
      </c>
      <c r="K4" s="4">
        <f t="shared" ref="K4:K20" si="2">F4/F$2</f>
        <v>1</v>
      </c>
      <c r="M4" t="b">
        <f>OR(H4&lt;0.65)</f>
        <v>1</v>
      </c>
      <c r="N4" t="b">
        <f t="shared" ref="N4:P4" si="3">OR(I4&lt;0.65)</f>
        <v>0</v>
      </c>
      <c r="O4" t="b">
        <f t="shared" si="3"/>
        <v>0</v>
      </c>
      <c r="P4" t="b">
        <f t="shared" si="3"/>
        <v>0</v>
      </c>
    </row>
    <row r="5" spans="1:16">
      <c r="A5" t="s">
        <v>11</v>
      </c>
      <c r="B5" t="s">
        <v>12</v>
      </c>
      <c r="C5" s="2">
        <v>5</v>
      </c>
      <c r="D5" s="2">
        <v>12</v>
      </c>
      <c r="E5" s="2">
        <v>70</v>
      </c>
      <c r="F5" s="2">
        <v>1</v>
      </c>
      <c r="H5" s="4">
        <f t="shared" ref="H5:H20" si="4">C5/C$2</f>
        <v>0.5</v>
      </c>
      <c r="I5" s="4">
        <f t="shared" si="0"/>
        <v>0.6</v>
      </c>
      <c r="J5" s="4">
        <f t="shared" si="1"/>
        <v>0.7</v>
      </c>
      <c r="K5" s="4">
        <f t="shared" si="2"/>
        <v>1</v>
      </c>
      <c r="M5" t="b">
        <f t="shared" ref="M5:M20" si="5">OR(H5&lt;0.65)</f>
        <v>1</v>
      </c>
      <c r="N5" t="b">
        <f t="shared" ref="N5:N20" si="6">OR(I5&lt;0.65)</f>
        <v>1</v>
      </c>
      <c r="O5" t="b">
        <f t="shared" ref="O5:O20" si="7">OR(J5&lt;0.65)</f>
        <v>0</v>
      </c>
      <c r="P5" t="b">
        <f t="shared" ref="P5:P20" si="8">OR(K5&lt;0.65)</f>
        <v>0</v>
      </c>
    </row>
    <row r="6" spans="1:16">
      <c r="A6" t="s">
        <v>13</v>
      </c>
      <c r="B6" t="s">
        <v>14</v>
      </c>
      <c r="C6" s="2">
        <v>10</v>
      </c>
      <c r="D6" s="2">
        <v>20</v>
      </c>
      <c r="E6" s="2">
        <v>100</v>
      </c>
      <c r="F6" s="2">
        <v>1</v>
      </c>
      <c r="H6" s="4">
        <f t="shared" si="4"/>
        <v>1</v>
      </c>
      <c r="I6" s="4">
        <f t="shared" si="0"/>
        <v>1</v>
      </c>
      <c r="J6" s="4">
        <f t="shared" si="1"/>
        <v>1</v>
      </c>
      <c r="K6" s="4">
        <f t="shared" si="2"/>
        <v>1</v>
      </c>
      <c r="M6" t="b">
        <f t="shared" si="5"/>
        <v>0</v>
      </c>
      <c r="N6" t="b">
        <f t="shared" si="6"/>
        <v>0</v>
      </c>
      <c r="O6" t="b">
        <f t="shared" si="7"/>
        <v>0</v>
      </c>
      <c r="P6" t="b">
        <f t="shared" si="8"/>
        <v>0</v>
      </c>
    </row>
    <row r="7" spans="1:16">
      <c r="A7" t="s">
        <v>15</v>
      </c>
      <c r="B7" t="s">
        <v>16</v>
      </c>
      <c r="C7" s="2">
        <v>8</v>
      </c>
      <c r="D7" s="2">
        <v>12</v>
      </c>
      <c r="E7" s="2">
        <v>90</v>
      </c>
      <c r="F7" s="2">
        <v>1</v>
      </c>
      <c r="H7" s="4">
        <f t="shared" si="4"/>
        <v>0.8</v>
      </c>
      <c r="I7" s="4">
        <f t="shared" si="0"/>
        <v>0.6</v>
      </c>
      <c r="J7" s="4">
        <f t="shared" si="1"/>
        <v>0.9</v>
      </c>
      <c r="K7" s="4">
        <f t="shared" si="2"/>
        <v>1</v>
      </c>
      <c r="M7" t="b">
        <f t="shared" si="5"/>
        <v>0</v>
      </c>
      <c r="N7" t="b">
        <f t="shared" si="6"/>
        <v>1</v>
      </c>
      <c r="O7" t="b">
        <f t="shared" si="7"/>
        <v>0</v>
      </c>
      <c r="P7" t="b">
        <f t="shared" si="8"/>
        <v>0</v>
      </c>
    </row>
    <row r="8" spans="1:16">
      <c r="A8" t="s">
        <v>17</v>
      </c>
      <c r="B8" t="s">
        <v>18</v>
      </c>
      <c r="C8" s="2">
        <v>4</v>
      </c>
      <c r="D8" s="2">
        <v>20</v>
      </c>
      <c r="E8" s="2">
        <v>91</v>
      </c>
      <c r="F8" s="2">
        <v>1</v>
      </c>
      <c r="H8" s="4">
        <f t="shared" si="4"/>
        <v>0.4</v>
      </c>
      <c r="I8" s="4">
        <f t="shared" si="0"/>
        <v>1</v>
      </c>
      <c r="J8" s="4">
        <f t="shared" si="1"/>
        <v>0.91</v>
      </c>
      <c r="K8" s="4">
        <f t="shared" si="2"/>
        <v>1</v>
      </c>
      <c r="M8" t="b">
        <f t="shared" si="5"/>
        <v>1</v>
      </c>
      <c r="N8" t="b">
        <f t="shared" si="6"/>
        <v>0</v>
      </c>
      <c r="O8" t="b">
        <f t="shared" si="7"/>
        <v>0</v>
      </c>
      <c r="P8" t="b">
        <f t="shared" si="8"/>
        <v>0</v>
      </c>
    </row>
    <row r="9" spans="1:16">
      <c r="A9" t="s">
        <v>19</v>
      </c>
      <c r="B9" t="s">
        <v>20</v>
      </c>
      <c r="C9" s="2">
        <v>5</v>
      </c>
      <c r="D9" s="2">
        <v>20</v>
      </c>
      <c r="E9" s="2">
        <v>54</v>
      </c>
      <c r="F9" s="2">
        <v>1</v>
      </c>
      <c r="H9" s="4">
        <f t="shared" si="4"/>
        <v>0.5</v>
      </c>
      <c r="I9" s="4">
        <f t="shared" si="0"/>
        <v>1</v>
      </c>
      <c r="J9" s="4">
        <f t="shared" si="1"/>
        <v>0.54</v>
      </c>
      <c r="K9" s="4">
        <f t="shared" si="2"/>
        <v>1</v>
      </c>
      <c r="M9" t="b">
        <f t="shared" si="5"/>
        <v>1</v>
      </c>
      <c r="N9" t="b">
        <f t="shared" si="6"/>
        <v>0</v>
      </c>
      <c r="O9" t="b">
        <f t="shared" si="7"/>
        <v>1</v>
      </c>
      <c r="P9" t="b">
        <f t="shared" si="8"/>
        <v>0</v>
      </c>
    </row>
    <row r="10" spans="1:16">
      <c r="A10" t="s">
        <v>21</v>
      </c>
      <c r="B10" t="s">
        <v>22</v>
      </c>
      <c r="C10" s="2">
        <v>3</v>
      </c>
      <c r="D10" s="2">
        <v>18</v>
      </c>
      <c r="E10" s="2">
        <v>67</v>
      </c>
      <c r="F10" s="2">
        <v>1</v>
      </c>
      <c r="H10" s="4">
        <f t="shared" si="4"/>
        <v>0.3</v>
      </c>
      <c r="I10" s="4">
        <f t="shared" si="0"/>
        <v>0.9</v>
      </c>
      <c r="J10" s="4">
        <f t="shared" si="1"/>
        <v>0.67</v>
      </c>
      <c r="K10" s="4">
        <f t="shared" si="2"/>
        <v>1</v>
      </c>
      <c r="M10" t="b">
        <f t="shared" si="5"/>
        <v>1</v>
      </c>
      <c r="N10" t="b">
        <f t="shared" si="6"/>
        <v>0</v>
      </c>
      <c r="O10" t="b">
        <f t="shared" si="7"/>
        <v>0</v>
      </c>
      <c r="P10" t="b">
        <f t="shared" si="8"/>
        <v>0</v>
      </c>
    </row>
    <row r="11" spans="1:16">
      <c r="A11" t="s">
        <v>23</v>
      </c>
      <c r="B11" t="s">
        <v>24</v>
      </c>
      <c r="C11" s="2">
        <v>7</v>
      </c>
      <c r="D11" s="2">
        <v>18</v>
      </c>
      <c r="E11" s="2">
        <v>89</v>
      </c>
      <c r="F11" s="2">
        <v>0</v>
      </c>
      <c r="H11" s="4">
        <f t="shared" si="4"/>
        <v>0.7</v>
      </c>
      <c r="I11" s="4">
        <f t="shared" si="0"/>
        <v>0.9</v>
      </c>
      <c r="J11" s="4">
        <f t="shared" si="1"/>
        <v>0.89</v>
      </c>
      <c r="K11" s="4">
        <f t="shared" si="2"/>
        <v>0</v>
      </c>
      <c r="M11" t="b">
        <f t="shared" si="5"/>
        <v>0</v>
      </c>
      <c r="N11" t="b">
        <f t="shared" si="6"/>
        <v>0</v>
      </c>
      <c r="O11" t="b">
        <f t="shared" si="7"/>
        <v>0</v>
      </c>
      <c r="P11" t="b">
        <f t="shared" si="8"/>
        <v>1</v>
      </c>
    </row>
    <row r="12" spans="1:16">
      <c r="A12" t="s">
        <v>25</v>
      </c>
      <c r="B12" t="s">
        <v>26</v>
      </c>
      <c r="C12" s="2">
        <v>5</v>
      </c>
      <c r="D12" s="2">
        <v>12</v>
      </c>
      <c r="E12" s="2">
        <v>43</v>
      </c>
      <c r="F12" s="2">
        <v>0</v>
      </c>
      <c r="H12" s="4">
        <f t="shared" si="4"/>
        <v>0.5</v>
      </c>
      <c r="I12" s="4">
        <f t="shared" si="0"/>
        <v>0.6</v>
      </c>
      <c r="J12" s="4">
        <f t="shared" si="1"/>
        <v>0.43</v>
      </c>
      <c r="K12" s="4">
        <f t="shared" si="2"/>
        <v>0</v>
      </c>
      <c r="M12" t="b">
        <f t="shared" si="5"/>
        <v>1</v>
      </c>
      <c r="N12" t="b">
        <f t="shared" si="6"/>
        <v>1</v>
      </c>
      <c r="O12" t="b">
        <f t="shared" si="7"/>
        <v>1</v>
      </c>
      <c r="P12" t="b">
        <f t="shared" si="8"/>
        <v>1</v>
      </c>
    </row>
    <row r="13" spans="1:16">
      <c r="A13" t="s">
        <v>21</v>
      </c>
      <c r="B13" t="s">
        <v>26</v>
      </c>
      <c r="C13" s="2">
        <v>4</v>
      </c>
      <c r="D13" s="2">
        <v>11</v>
      </c>
      <c r="E13" s="2">
        <v>33</v>
      </c>
      <c r="F13" s="2">
        <v>0</v>
      </c>
      <c r="H13" s="4">
        <f t="shared" si="4"/>
        <v>0.4</v>
      </c>
      <c r="I13" s="4">
        <f t="shared" si="0"/>
        <v>0.55000000000000004</v>
      </c>
      <c r="J13" s="4">
        <f t="shared" si="1"/>
        <v>0.33</v>
      </c>
      <c r="K13" s="4">
        <f t="shared" si="2"/>
        <v>0</v>
      </c>
      <c r="M13" t="b">
        <f t="shared" si="5"/>
        <v>1</v>
      </c>
      <c r="N13" t="b">
        <f t="shared" si="6"/>
        <v>1</v>
      </c>
      <c r="O13" t="b">
        <f t="shared" si="7"/>
        <v>1</v>
      </c>
      <c r="P13" t="b">
        <f t="shared" si="8"/>
        <v>1</v>
      </c>
    </row>
    <row r="14" spans="1:16">
      <c r="A14" t="s">
        <v>27</v>
      </c>
      <c r="B14" t="s">
        <v>28</v>
      </c>
      <c r="C14" s="2">
        <v>5</v>
      </c>
      <c r="D14" s="2">
        <v>15</v>
      </c>
      <c r="E14" s="2">
        <v>45</v>
      </c>
      <c r="F14" s="2">
        <v>0</v>
      </c>
      <c r="H14" s="4">
        <f t="shared" si="4"/>
        <v>0.5</v>
      </c>
      <c r="I14" s="4">
        <f t="shared" si="0"/>
        <v>0.75</v>
      </c>
      <c r="J14" s="4">
        <f t="shared" si="1"/>
        <v>0.45</v>
      </c>
      <c r="K14" s="4">
        <f t="shared" si="2"/>
        <v>0</v>
      </c>
      <c r="M14" t="b">
        <f t="shared" si="5"/>
        <v>1</v>
      </c>
      <c r="N14" t="b">
        <f t="shared" si="6"/>
        <v>0</v>
      </c>
      <c r="O14" t="b">
        <f t="shared" si="7"/>
        <v>1</v>
      </c>
      <c r="P14" t="b">
        <f t="shared" si="8"/>
        <v>1</v>
      </c>
    </row>
    <row r="15" spans="1:16">
      <c r="A15" t="s">
        <v>29</v>
      </c>
      <c r="B15" t="s">
        <v>30</v>
      </c>
      <c r="C15" s="2">
        <v>6</v>
      </c>
      <c r="D15" s="2">
        <v>11</v>
      </c>
      <c r="E15" s="2">
        <v>69</v>
      </c>
      <c r="F15" s="2">
        <v>0</v>
      </c>
      <c r="H15" s="4">
        <f t="shared" si="4"/>
        <v>0.6</v>
      </c>
      <c r="I15" s="4">
        <f t="shared" si="0"/>
        <v>0.55000000000000004</v>
      </c>
      <c r="J15" s="4">
        <f t="shared" si="1"/>
        <v>0.69</v>
      </c>
      <c r="K15" s="4">
        <f t="shared" si="2"/>
        <v>0</v>
      </c>
      <c r="M15" t="b">
        <f t="shared" si="5"/>
        <v>1</v>
      </c>
      <c r="N15" t="b">
        <f t="shared" si="6"/>
        <v>1</v>
      </c>
      <c r="O15" t="b">
        <f t="shared" si="7"/>
        <v>0</v>
      </c>
      <c r="P15" t="b">
        <f t="shared" si="8"/>
        <v>1</v>
      </c>
    </row>
    <row r="16" spans="1:16">
      <c r="A16" t="s">
        <v>31</v>
      </c>
      <c r="B16" t="s">
        <v>32</v>
      </c>
      <c r="C16" s="2">
        <v>7</v>
      </c>
      <c r="D16" s="2">
        <v>17</v>
      </c>
      <c r="E16" s="2">
        <v>78</v>
      </c>
      <c r="F16" s="2">
        <v>1</v>
      </c>
      <c r="H16" s="4">
        <f t="shared" si="4"/>
        <v>0.7</v>
      </c>
      <c r="I16" s="4">
        <f t="shared" si="0"/>
        <v>0.85</v>
      </c>
      <c r="J16" s="4">
        <f t="shared" si="1"/>
        <v>0.78</v>
      </c>
      <c r="K16" s="4">
        <f t="shared" si="2"/>
        <v>1</v>
      </c>
      <c r="M16" t="b">
        <f t="shared" si="5"/>
        <v>0</v>
      </c>
      <c r="N16" t="b">
        <f t="shared" si="6"/>
        <v>0</v>
      </c>
      <c r="O16" t="b">
        <f t="shared" si="7"/>
        <v>0</v>
      </c>
      <c r="P16" t="b">
        <f t="shared" si="8"/>
        <v>0</v>
      </c>
    </row>
    <row r="17" spans="1:16">
      <c r="A17" t="s">
        <v>33</v>
      </c>
      <c r="B17" t="s">
        <v>34</v>
      </c>
      <c r="C17" s="2">
        <v>8</v>
      </c>
      <c r="D17" s="2">
        <v>19</v>
      </c>
      <c r="E17" s="2">
        <v>81</v>
      </c>
      <c r="F17" s="2">
        <v>1</v>
      </c>
      <c r="H17" s="4">
        <f t="shared" si="4"/>
        <v>0.8</v>
      </c>
      <c r="I17" s="4">
        <f t="shared" si="0"/>
        <v>0.95</v>
      </c>
      <c r="J17" s="4">
        <f t="shared" si="1"/>
        <v>0.81</v>
      </c>
      <c r="K17" s="4">
        <f t="shared" si="2"/>
        <v>1</v>
      </c>
      <c r="M17" t="b">
        <f t="shared" si="5"/>
        <v>0</v>
      </c>
      <c r="N17" t="b">
        <f t="shared" si="6"/>
        <v>0</v>
      </c>
      <c r="O17" t="b">
        <f t="shared" si="7"/>
        <v>0</v>
      </c>
      <c r="P17" t="b">
        <f t="shared" si="8"/>
        <v>0</v>
      </c>
    </row>
    <row r="18" spans="1:16">
      <c r="A18" t="s">
        <v>35</v>
      </c>
      <c r="B18" t="s">
        <v>36</v>
      </c>
      <c r="C18" s="2">
        <v>9</v>
      </c>
      <c r="D18" s="2">
        <v>11</v>
      </c>
      <c r="E18" s="2">
        <v>74</v>
      </c>
      <c r="F18" s="2">
        <v>0</v>
      </c>
      <c r="H18" s="4">
        <f t="shared" si="4"/>
        <v>0.9</v>
      </c>
      <c r="I18" s="4">
        <f t="shared" si="0"/>
        <v>0.55000000000000004</v>
      </c>
      <c r="J18" s="4">
        <f t="shared" si="1"/>
        <v>0.74</v>
      </c>
      <c r="K18" s="4">
        <f t="shared" si="2"/>
        <v>0</v>
      </c>
      <c r="M18" t="b">
        <f t="shared" si="5"/>
        <v>0</v>
      </c>
      <c r="N18" t="b">
        <f t="shared" si="6"/>
        <v>1</v>
      </c>
      <c r="O18" t="b">
        <f t="shared" si="7"/>
        <v>0</v>
      </c>
      <c r="P18" t="b">
        <f t="shared" si="8"/>
        <v>1</v>
      </c>
    </row>
    <row r="19" spans="1:16">
      <c r="A19" t="s">
        <v>37</v>
      </c>
      <c r="B19" t="s">
        <v>38</v>
      </c>
      <c r="C19" s="2">
        <v>6.9428571428571404</v>
      </c>
      <c r="D19" s="2">
        <v>12</v>
      </c>
      <c r="E19" s="2">
        <v>87</v>
      </c>
      <c r="F19" s="2">
        <v>0</v>
      </c>
      <c r="H19" s="4">
        <f>C19/C$2</f>
        <v>0.69428571428571406</v>
      </c>
      <c r="I19" s="4">
        <f t="shared" ref="I19:I20" si="9">D19/D$2</f>
        <v>0.6</v>
      </c>
      <c r="J19" s="4">
        <f t="shared" ref="J19:J20" si="10">E19/E$2</f>
        <v>0.87</v>
      </c>
      <c r="K19" s="4">
        <f t="shared" ref="K19:K20" si="11">F19/F$2</f>
        <v>0</v>
      </c>
      <c r="M19" t="b">
        <f t="shared" si="5"/>
        <v>0</v>
      </c>
      <c r="N19" t="b">
        <f t="shared" si="6"/>
        <v>1</v>
      </c>
      <c r="O19" t="b">
        <f t="shared" si="7"/>
        <v>0</v>
      </c>
      <c r="P19" t="b">
        <f t="shared" si="8"/>
        <v>1</v>
      </c>
    </row>
    <row r="20" spans="1:16">
      <c r="A20" t="s">
        <v>39</v>
      </c>
      <c r="B20" t="s">
        <v>40</v>
      </c>
      <c r="C20" s="2">
        <v>7.0607142857142904</v>
      </c>
      <c r="D20" s="2">
        <v>12</v>
      </c>
      <c r="E20" s="2">
        <v>74</v>
      </c>
      <c r="F20" s="2">
        <v>1</v>
      </c>
      <c r="H20" s="4">
        <f t="shared" ref="H20" si="12">C20/C$2</f>
        <v>0.70607142857142902</v>
      </c>
      <c r="I20" s="4">
        <f t="shared" si="9"/>
        <v>0.6</v>
      </c>
      <c r="J20" s="4">
        <f t="shared" si="10"/>
        <v>0.74</v>
      </c>
      <c r="K20" s="4">
        <f t="shared" si="11"/>
        <v>1</v>
      </c>
      <c r="M20" t="b">
        <f t="shared" si="5"/>
        <v>0</v>
      </c>
      <c r="N20" t="b">
        <f t="shared" si="6"/>
        <v>1</v>
      </c>
      <c r="O20" t="b">
        <f t="shared" si="7"/>
        <v>0</v>
      </c>
      <c r="P20" t="b">
        <f t="shared" si="8"/>
        <v>0</v>
      </c>
    </row>
    <row r="22" spans="1:16">
      <c r="A22" t="s">
        <v>41</v>
      </c>
      <c r="C22" s="2">
        <f>MAX(C4:C21)</f>
        <v>10</v>
      </c>
      <c r="D22" s="2">
        <f>MAX(D4:D21)</f>
        <v>20</v>
      </c>
      <c r="E22" s="2">
        <f t="shared" ref="E22:K22" si="13">MAX(E4:E21)</f>
        <v>100</v>
      </c>
      <c r="F22" s="2">
        <f t="shared" si="13"/>
        <v>1</v>
      </c>
      <c r="G22" s="2"/>
      <c r="H22" s="5">
        <f t="shared" si="13"/>
        <v>1</v>
      </c>
      <c r="I22" s="5">
        <f t="shared" si="13"/>
        <v>1</v>
      </c>
      <c r="J22" s="5">
        <f t="shared" si="13"/>
        <v>1</v>
      </c>
      <c r="K22" s="5">
        <f t="shared" si="13"/>
        <v>1</v>
      </c>
    </row>
    <row r="23" spans="1:16">
      <c r="A23" t="s">
        <v>42</v>
      </c>
      <c r="C23" s="2">
        <f>MIN(C2:C20)</f>
        <v>3</v>
      </c>
      <c r="D23" s="2">
        <f>MIN(D2:D20)</f>
        <v>11</v>
      </c>
      <c r="E23" s="2">
        <f t="shared" ref="E23:K23" si="14">MIN(E2:E20)</f>
        <v>33</v>
      </c>
      <c r="F23" s="2">
        <f t="shared" si="14"/>
        <v>0</v>
      </c>
      <c r="G23" s="2"/>
      <c r="H23" s="5">
        <f t="shared" si="14"/>
        <v>0.3</v>
      </c>
      <c r="I23" s="5">
        <f t="shared" si="14"/>
        <v>0.55000000000000004</v>
      </c>
      <c r="J23" s="5">
        <f t="shared" si="14"/>
        <v>0.33</v>
      </c>
      <c r="K23" s="5">
        <f t="shared" si="14"/>
        <v>0</v>
      </c>
    </row>
    <row r="24" spans="1:16">
      <c r="A24" t="s">
        <v>43</v>
      </c>
      <c r="C24" s="2">
        <f>AVERAGE(C2:C20)</f>
        <v>6.3335317460317464</v>
      </c>
      <c r="D24" s="2">
        <f>AVERAGE(D2:D20)</f>
        <v>15.277777777777779</v>
      </c>
      <c r="E24" s="2">
        <f t="shared" ref="E24:K24" si="15">AVERAGE(E2:E20)</f>
        <v>72.777777777777771</v>
      </c>
      <c r="F24" s="2">
        <f t="shared" si="15"/>
        <v>0.61111111111111116</v>
      </c>
      <c r="G24" s="2"/>
      <c r="H24" s="5">
        <f t="shared" si="15"/>
        <v>0.61178571428571427</v>
      </c>
      <c r="I24" s="5">
        <f t="shared" si="15"/>
        <v>0.75</v>
      </c>
      <c r="J24" s="5">
        <f t="shared" si="15"/>
        <v>0.71176470588235297</v>
      </c>
      <c r="K24" s="5">
        <f t="shared" si="15"/>
        <v>0.58823529411764708</v>
      </c>
    </row>
    <row r="25" spans="1:16">
      <c r="A25" t="s">
        <v>44</v>
      </c>
      <c r="C25" s="2">
        <f>SUM(C2:C20)</f>
        <v>114.00357142857143</v>
      </c>
      <c r="D25" s="2">
        <f>SUM(D2:D20)</f>
        <v>275</v>
      </c>
      <c r="E25" s="2">
        <f t="shared" ref="E25:K25" si="16">SUM(E2:E20)</f>
        <v>1310</v>
      </c>
      <c r="F25" s="2">
        <f t="shared" si="16"/>
        <v>11</v>
      </c>
      <c r="G25" s="2"/>
      <c r="H25" s="5">
        <f t="shared" si="16"/>
        <v>10.400357142857143</v>
      </c>
      <c r="I25" s="5">
        <f t="shared" si="16"/>
        <v>12.75</v>
      </c>
      <c r="J25" s="5">
        <f t="shared" si="16"/>
        <v>12.1</v>
      </c>
      <c r="K25" s="5">
        <f t="shared" si="16"/>
        <v>10</v>
      </c>
    </row>
  </sheetData>
  <conditionalFormatting sqref="C4:C20"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D4:D18"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D19:D20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D4:D20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E4:E20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F4:F20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H4:K20">
    <cfRule type="cellIs" dxfId="3" priority="4" operator="lessThan">
      <formula>0.65</formula>
    </cfRule>
  </conditionalFormatting>
  <conditionalFormatting sqref="H4:K20">
    <cfRule type="cellIs" dxfId="2" priority="3" operator="greaterThan">
      <formula>0.65</formula>
    </cfRule>
  </conditionalFormatting>
  <conditionalFormatting sqref="R11:R12">
    <cfRule type="cellIs" dxfId="1" priority="2" operator="equal">
      <formula>TRUE</formula>
    </cfRule>
  </conditionalFormatting>
  <conditionalFormatting sqref="N7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2025-08-24T22:39:16Z</dcterms:created>
  <dcterms:modified xsi:type="dcterms:W3CDTF">2026-02-25T01:46:40Z</dcterms:modified>
  <cp:category/>
  <cp:contentStatus/>
</cp:coreProperties>
</file>